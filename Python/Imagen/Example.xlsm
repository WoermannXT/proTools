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Wo\Documents\GitHub\pTools\Python\Imagen\"/>
    </mc:Choice>
  </mc:AlternateContent>
  <xr:revisionPtr revIDLastSave="0" documentId="13_ncr:1_{B3FFBBBF-2E11-404C-AD9B-1B80E14AB450}" xr6:coauthVersionLast="47" xr6:coauthVersionMax="47" xr10:uidLastSave="{00000000-0000-0000-0000-000000000000}"/>
  <bookViews>
    <workbookView xWindow="31485" yWindow="2685" windowWidth="21600" windowHeight="11835" activeTab="2" xr2:uid="{00000000-000D-0000-FFFF-FFFF00000000}"/>
  </bookViews>
  <sheets>
    <sheet name="EVal" sheetId="1" r:id="rId1"/>
    <sheet name="Data" sheetId="2" r:id="rId2"/>
    <sheet name="Com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3" l="1"/>
  <c r="D38" i="3" s="1"/>
  <c r="E38" i="3" s="1"/>
  <c r="F38" i="3" s="1"/>
  <c r="G38" i="3" s="1"/>
  <c r="H38" i="3" s="1"/>
  <c r="I38" i="3" s="1"/>
  <c r="J38" i="3" s="1"/>
  <c r="D37" i="3"/>
  <c r="E37" i="3" s="1"/>
  <c r="F37" i="3" s="1"/>
  <c r="G37" i="3" s="1"/>
  <c r="H37" i="3" s="1"/>
  <c r="I37" i="3" s="1"/>
  <c r="J37" i="3" s="1"/>
  <c r="C36" i="3"/>
  <c r="D36" i="3" s="1"/>
  <c r="E36" i="3" s="1"/>
  <c r="F36" i="3" s="1"/>
  <c r="G36" i="3" s="1"/>
  <c r="H36" i="3" s="1"/>
  <c r="I36" i="3" s="1"/>
  <c r="J36" i="3" s="1"/>
  <c r="E35" i="3"/>
  <c r="F35" i="3" s="1"/>
  <c r="G35" i="3" s="1"/>
  <c r="H35" i="3" s="1"/>
  <c r="I35" i="3" s="1"/>
  <c r="J35" i="3" s="1"/>
  <c r="D35" i="3"/>
  <c r="C34" i="3"/>
  <c r="D34" i="3" s="1"/>
  <c r="E34" i="3" s="1"/>
  <c r="F34" i="3" s="1"/>
  <c r="G34" i="3" s="1"/>
  <c r="H34" i="3" s="1"/>
  <c r="I34" i="3" s="1"/>
  <c r="J34" i="3" s="1"/>
  <c r="D33" i="3"/>
  <c r="E33" i="3" s="1"/>
  <c r="F33" i="3" s="1"/>
  <c r="G33" i="3" s="1"/>
  <c r="H33" i="3" s="1"/>
  <c r="I33" i="3" s="1"/>
  <c r="J33" i="3" s="1"/>
  <c r="C32" i="3"/>
  <c r="D32" i="3" s="1"/>
  <c r="E32" i="3" s="1"/>
  <c r="F32" i="3" s="1"/>
  <c r="G32" i="3" s="1"/>
  <c r="H32" i="3" s="1"/>
  <c r="I32" i="3" s="1"/>
  <c r="J32" i="3" s="1"/>
  <c r="E31" i="3"/>
  <c r="F31" i="3" s="1"/>
  <c r="G31" i="3" s="1"/>
  <c r="H31" i="3" s="1"/>
  <c r="I31" i="3" s="1"/>
  <c r="J31" i="3" s="1"/>
  <c r="D31" i="3"/>
  <c r="Q24" i="3"/>
  <c r="Q23" i="3"/>
  <c r="Q22" i="3"/>
  <c r="G28" i="3"/>
  <c r="G29" i="3" s="1"/>
  <c r="H29" i="3" s="1"/>
  <c r="I29" i="3" s="1"/>
  <c r="J29" i="3" s="1"/>
  <c r="G27" i="3"/>
  <c r="H27" i="3" s="1"/>
  <c r="I27" i="3" s="1"/>
  <c r="J27" i="3" s="1"/>
  <c r="C28" i="3"/>
  <c r="C29" i="3" s="1"/>
  <c r="D29" i="3" s="1"/>
  <c r="E29" i="3" s="1"/>
  <c r="F29" i="3" s="1"/>
  <c r="C27" i="3"/>
  <c r="D27" i="3" s="1"/>
  <c r="E27" i="3" s="1"/>
  <c r="F27" i="3" s="1"/>
  <c r="G24" i="3"/>
  <c r="G25" i="3" s="1"/>
  <c r="H25" i="3" s="1"/>
  <c r="I25" i="3" s="1"/>
  <c r="J25" i="3" s="1"/>
  <c r="G23" i="3"/>
  <c r="H23" i="3" s="1"/>
  <c r="I23" i="3" s="1"/>
  <c r="J23" i="3" s="1"/>
  <c r="C24" i="3"/>
  <c r="D24" i="3" s="1"/>
  <c r="E24" i="3" s="1"/>
  <c r="F24" i="3" s="1"/>
  <c r="E23" i="3"/>
  <c r="F23" i="3"/>
  <c r="D23" i="3"/>
  <c r="C23" i="3"/>
  <c r="N19" i="1"/>
  <c r="O19" i="1" s="1"/>
  <c r="P19" i="1" s="1"/>
  <c r="Q19" i="1" s="1"/>
  <c r="R19" i="1" s="1"/>
  <c r="S19" i="1" s="1"/>
  <c r="T19" i="1" s="1"/>
  <c r="M19" i="1"/>
  <c r="M20" i="1" s="1"/>
  <c r="N18" i="1"/>
  <c r="O18" i="1" s="1"/>
  <c r="P18" i="1" s="1"/>
  <c r="Q18" i="1" s="1"/>
  <c r="R18" i="1" s="1"/>
  <c r="S18" i="1" s="1"/>
  <c r="T18" i="1" s="1"/>
  <c r="C20" i="3"/>
  <c r="C19" i="3"/>
  <c r="K2" i="2"/>
  <c r="AK2" i="2"/>
  <c r="BK2" i="2"/>
  <c r="CK2" i="2"/>
  <c r="DK2" i="2"/>
  <c r="EK2" i="2"/>
  <c r="FK2" i="2"/>
  <c r="FB69" i="2"/>
  <c r="FA69" i="2"/>
  <c r="EZ69" i="2"/>
  <c r="EY69" i="2"/>
  <c r="EX69" i="2"/>
  <c r="EW69" i="2"/>
  <c r="EV69" i="2"/>
  <c r="EU69" i="2"/>
  <c r="FB68" i="2"/>
  <c r="FA68" i="2"/>
  <c r="EZ68" i="2"/>
  <c r="EY68" i="2"/>
  <c r="EX68" i="2"/>
  <c r="EW68" i="2"/>
  <c r="EV68" i="2"/>
  <c r="EU68" i="2"/>
  <c r="FB67" i="2"/>
  <c r="FA67" i="2"/>
  <c r="EZ67" i="2"/>
  <c r="EY67" i="2"/>
  <c r="EX67" i="2"/>
  <c r="EW67" i="2"/>
  <c r="EV67" i="2"/>
  <c r="EU67" i="2"/>
  <c r="FB66" i="2"/>
  <c r="FA66" i="2"/>
  <c r="EZ66" i="2"/>
  <c r="EY66" i="2"/>
  <c r="EX66" i="2"/>
  <c r="EW66" i="2"/>
  <c r="EV66" i="2"/>
  <c r="EU66" i="2"/>
  <c r="FB65" i="2"/>
  <c r="FA65" i="2"/>
  <c r="EZ65" i="2"/>
  <c r="EY65" i="2"/>
  <c r="EX65" i="2"/>
  <c r="EW65" i="2"/>
  <c r="EV65" i="2"/>
  <c r="EU65" i="2"/>
  <c r="FB64" i="2"/>
  <c r="FA64" i="2"/>
  <c r="EZ64" i="2"/>
  <c r="EY64" i="2"/>
  <c r="EX64" i="2"/>
  <c r="EW64" i="2"/>
  <c r="EV64" i="2"/>
  <c r="EU64" i="2"/>
  <c r="FB63" i="2"/>
  <c r="FA63" i="2"/>
  <c r="EZ63" i="2"/>
  <c r="EY63" i="2"/>
  <c r="EX63" i="2"/>
  <c r="EW63" i="2"/>
  <c r="EV63" i="2"/>
  <c r="EU63" i="2"/>
  <c r="FB62" i="2"/>
  <c r="FA62" i="2"/>
  <c r="EZ62" i="2"/>
  <c r="EY62" i="2"/>
  <c r="EX62" i="2"/>
  <c r="EW62" i="2"/>
  <c r="EV62" i="2"/>
  <c r="EU62" i="2"/>
  <c r="B58" i="1"/>
  <c r="AB69" i="2"/>
  <c r="AA69" i="2"/>
  <c r="Z69" i="2"/>
  <c r="Y69" i="2"/>
  <c r="X69" i="2"/>
  <c r="W69" i="2"/>
  <c r="V69" i="2"/>
  <c r="U69" i="2"/>
  <c r="AB68" i="2"/>
  <c r="AA68" i="2"/>
  <c r="Z68" i="2"/>
  <c r="Y68" i="2"/>
  <c r="X68" i="2"/>
  <c r="W68" i="2"/>
  <c r="V68" i="2"/>
  <c r="U68" i="2"/>
  <c r="AB67" i="2"/>
  <c r="AA67" i="2"/>
  <c r="Z67" i="2"/>
  <c r="Y67" i="2"/>
  <c r="X67" i="2"/>
  <c r="W67" i="2"/>
  <c r="V67" i="2"/>
  <c r="U67" i="2"/>
  <c r="AB66" i="2"/>
  <c r="AA66" i="2"/>
  <c r="Z66" i="2"/>
  <c r="Y66" i="2"/>
  <c r="X66" i="2"/>
  <c r="W66" i="2"/>
  <c r="V66" i="2"/>
  <c r="U66" i="2"/>
  <c r="AB65" i="2"/>
  <c r="AA65" i="2"/>
  <c r="Z65" i="2"/>
  <c r="Y65" i="2"/>
  <c r="X65" i="2"/>
  <c r="W65" i="2"/>
  <c r="V65" i="2"/>
  <c r="U65" i="2"/>
  <c r="AB64" i="2"/>
  <c r="AA64" i="2"/>
  <c r="Z64" i="2"/>
  <c r="Y64" i="2"/>
  <c r="X64" i="2"/>
  <c r="W64" i="2"/>
  <c r="V64" i="2"/>
  <c r="U64" i="2"/>
  <c r="AB63" i="2"/>
  <c r="AA63" i="2"/>
  <c r="Z63" i="2"/>
  <c r="Y63" i="2"/>
  <c r="X63" i="2"/>
  <c r="W63" i="2"/>
  <c r="V63" i="2"/>
  <c r="U63" i="2"/>
  <c r="AB62" i="2"/>
  <c r="AA62" i="2"/>
  <c r="Z62" i="2"/>
  <c r="Y62" i="2"/>
  <c r="X62" i="2"/>
  <c r="W62" i="2"/>
  <c r="V62" i="2"/>
  <c r="U62" i="2"/>
  <c r="W7" i="3"/>
  <c r="X7" i="3"/>
  <c r="Y7" i="3"/>
  <c r="Z7" i="3"/>
  <c r="AA7" i="3"/>
  <c r="AB7" i="3"/>
  <c r="AC7" i="3"/>
  <c r="AD7" i="3"/>
  <c r="W8" i="3"/>
  <c r="X8" i="3"/>
  <c r="Y8" i="3"/>
  <c r="Z8" i="3"/>
  <c r="AA8" i="3"/>
  <c r="AB8" i="3"/>
  <c r="AC8" i="3"/>
  <c r="AD8" i="3"/>
  <c r="W9" i="3"/>
  <c r="X9" i="3"/>
  <c r="Y9" i="3"/>
  <c r="Z9" i="3"/>
  <c r="AA9" i="3"/>
  <c r="AB9" i="3"/>
  <c r="AC9" i="3"/>
  <c r="AD9" i="3"/>
  <c r="W10" i="3"/>
  <c r="X10" i="3"/>
  <c r="Y10" i="3"/>
  <c r="Z10" i="3"/>
  <c r="AA10" i="3"/>
  <c r="AB10" i="3"/>
  <c r="AC10" i="3"/>
  <c r="AD10" i="3"/>
  <c r="W11" i="3"/>
  <c r="X11" i="3"/>
  <c r="Y11" i="3"/>
  <c r="Z11" i="3"/>
  <c r="AA11" i="3"/>
  <c r="AB11" i="3"/>
  <c r="AC11" i="3"/>
  <c r="AD11" i="3"/>
  <c r="W12" i="3"/>
  <c r="X12" i="3"/>
  <c r="Y12" i="3"/>
  <c r="Z12" i="3"/>
  <c r="AA12" i="3"/>
  <c r="AB12" i="3"/>
  <c r="AC12" i="3"/>
  <c r="AD12" i="3"/>
  <c r="W13" i="3"/>
  <c r="X13" i="3"/>
  <c r="Y13" i="3"/>
  <c r="Z13" i="3"/>
  <c r="AA13" i="3"/>
  <c r="AB13" i="3"/>
  <c r="AC13" i="3"/>
  <c r="AD13" i="3"/>
  <c r="X6" i="3"/>
  <c r="Y6" i="3"/>
  <c r="Z6" i="3"/>
  <c r="AA6" i="3"/>
  <c r="AB6" i="3"/>
  <c r="AC6" i="3"/>
  <c r="AD6" i="3"/>
  <c r="W6" i="3"/>
  <c r="H28" i="3" l="1"/>
  <c r="I28" i="3" s="1"/>
  <c r="J28" i="3" s="1"/>
  <c r="D28" i="3"/>
  <c r="E28" i="3" s="1"/>
  <c r="F28" i="3" s="1"/>
  <c r="H24" i="3"/>
  <c r="I24" i="3" s="1"/>
  <c r="J24" i="3" s="1"/>
  <c r="C25" i="3"/>
  <c r="D25" i="3" s="1"/>
  <c r="E25" i="3" s="1"/>
  <c r="F25" i="3" s="1"/>
  <c r="N20" i="1"/>
  <c r="O20" i="1" s="1"/>
  <c r="P20" i="1" s="1"/>
  <c r="Q20" i="1" s="1"/>
  <c r="R20" i="1" s="1"/>
  <c r="S20" i="1" s="1"/>
  <c r="T20" i="1" s="1"/>
  <c r="M21" i="1"/>
  <c r="EU70" i="2"/>
  <c r="U70" i="2"/>
  <c r="W14" i="3"/>
  <c r="B28" i="1"/>
  <c r="B38" i="1" s="1"/>
  <c r="C38" i="1" s="1"/>
  <c r="D38" i="1" s="1"/>
  <c r="E38" i="1" s="1"/>
  <c r="F38" i="1" s="1"/>
  <c r="G38" i="1" s="1"/>
  <c r="H38" i="1" s="1"/>
  <c r="I38" i="1" s="1"/>
  <c r="B39" i="1" s="1"/>
  <c r="C39" i="1" s="1"/>
  <c r="D39" i="1" s="1"/>
  <c r="E39" i="1" s="1"/>
  <c r="F39" i="1" s="1"/>
  <c r="G39" i="1" s="1"/>
  <c r="H39" i="1" s="1"/>
  <c r="I39" i="1" s="1"/>
  <c r="B40" i="1" s="1"/>
  <c r="C40" i="1" s="1"/>
  <c r="D40" i="1" s="1"/>
  <c r="E40" i="1" s="1"/>
  <c r="F40" i="1" s="1"/>
  <c r="G40" i="1" s="1"/>
  <c r="H40" i="1" s="1"/>
  <c r="I40" i="1" s="1"/>
  <c r="B41" i="1" s="1"/>
  <c r="C41" i="1" s="1"/>
  <c r="D41" i="1" s="1"/>
  <c r="E41" i="1" s="1"/>
  <c r="F41" i="1" s="1"/>
  <c r="G41" i="1" s="1"/>
  <c r="H41" i="1" s="1"/>
  <c r="I41" i="1" s="1"/>
  <c r="B42" i="1" s="1"/>
  <c r="C42" i="1" s="1"/>
  <c r="D42" i="1" s="1"/>
  <c r="E42" i="1" s="1"/>
  <c r="F42" i="1" s="1"/>
  <c r="G42" i="1" s="1"/>
  <c r="H42" i="1" s="1"/>
  <c r="I42" i="1" s="1"/>
  <c r="B43" i="1" s="1"/>
  <c r="C43" i="1" s="1"/>
  <c r="D43" i="1" s="1"/>
  <c r="E43" i="1" s="1"/>
  <c r="F43" i="1" s="1"/>
  <c r="G43" i="1" s="1"/>
  <c r="H43" i="1" s="1"/>
  <c r="I43" i="1" s="1"/>
  <c r="B44" i="1" s="1"/>
  <c r="C44" i="1" s="1"/>
  <c r="D44" i="1" s="1"/>
  <c r="E44" i="1" s="1"/>
  <c r="F44" i="1" s="1"/>
  <c r="G44" i="1" s="1"/>
  <c r="H44" i="1" s="1"/>
  <c r="I44" i="1" s="1"/>
  <c r="B45" i="1" s="1"/>
  <c r="C45" i="1" s="1"/>
  <c r="D45" i="1" s="1"/>
  <c r="E45" i="1" s="1"/>
  <c r="F45" i="1" s="1"/>
  <c r="G45" i="1" s="1"/>
  <c r="H45" i="1" s="1"/>
  <c r="I45" i="1" s="1"/>
  <c r="D18" i="1"/>
  <c r="E18" i="1" s="1"/>
  <c r="F18" i="1" s="1"/>
  <c r="G18" i="1" s="1"/>
  <c r="H18" i="1" s="1"/>
  <c r="I18" i="1" s="1"/>
  <c r="B19" i="1" s="1"/>
  <c r="C19" i="1" s="1"/>
  <c r="D19" i="1" s="1"/>
  <c r="E19" i="1" s="1"/>
  <c r="F19" i="1" s="1"/>
  <c r="G19" i="1" s="1"/>
  <c r="H19" i="1" s="1"/>
  <c r="I19" i="1" s="1"/>
  <c r="B20" i="1" s="1"/>
  <c r="C20" i="1" s="1"/>
  <c r="D20" i="1" s="1"/>
  <c r="E20" i="1" s="1"/>
  <c r="F20" i="1" s="1"/>
  <c r="G20" i="1" s="1"/>
  <c r="H20" i="1" s="1"/>
  <c r="I20" i="1" s="1"/>
  <c r="B21" i="1" s="1"/>
  <c r="C21" i="1" s="1"/>
  <c r="D21" i="1" s="1"/>
  <c r="E21" i="1" s="1"/>
  <c r="F21" i="1" s="1"/>
  <c r="G21" i="1" s="1"/>
  <c r="H21" i="1" s="1"/>
  <c r="I21" i="1" s="1"/>
  <c r="B22" i="1" s="1"/>
  <c r="C22" i="1" s="1"/>
  <c r="D22" i="1" s="1"/>
  <c r="E22" i="1" s="1"/>
  <c r="F22" i="1" s="1"/>
  <c r="G22" i="1" s="1"/>
  <c r="H22" i="1" s="1"/>
  <c r="I22" i="1" s="1"/>
  <c r="B23" i="1" s="1"/>
  <c r="C23" i="1" s="1"/>
  <c r="D23" i="1" s="1"/>
  <c r="E23" i="1" s="1"/>
  <c r="F23" i="1" s="1"/>
  <c r="G23" i="1" s="1"/>
  <c r="H23" i="1" s="1"/>
  <c r="I23" i="1" s="1"/>
  <c r="B24" i="1" s="1"/>
  <c r="C24" i="1" s="1"/>
  <c r="D24" i="1" s="1"/>
  <c r="E24" i="1" s="1"/>
  <c r="F24" i="1" s="1"/>
  <c r="G24" i="1" s="1"/>
  <c r="H24" i="1" s="1"/>
  <c r="I24" i="1" s="1"/>
  <c r="B25" i="1" s="1"/>
  <c r="C25" i="1" s="1"/>
  <c r="D25" i="1" s="1"/>
  <c r="E25" i="1" s="1"/>
  <c r="F25" i="1" s="1"/>
  <c r="G25" i="1" s="1"/>
  <c r="H25" i="1" s="1"/>
  <c r="I25" i="1" s="1"/>
  <c r="C18" i="1"/>
  <c r="B15" i="1"/>
  <c r="B14" i="1"/>
  <c r="A89" i="1"/>
  <c r="A90" i="1" s="1"/>
  <c r="A91" i="1" s="1"/>
  <c r="A92" i="1" s="1"/>
  <c r="A93" i="1" s="1"/>
  <c r="A94" i="1" s="1"/>
  <c r="A95" i="1" s="1"/>
  <c r="C87" i="1"/>
  <c r="D87" i="1" s="1"/>
  <c r="E87" i="1" s="1"/>
  <c r="F87" i="1" s="1"/>
  <c r="G87" i="1" s="1"/>
  <c r="H87" i="1" s="1"/>
  <c r="I87" i="1" s="1"/>
  <c r="A79" i="1"/>
  <c r="A80" i="1" s="1"/>
  <c r="A81" i="1" s="1"/>
  <c r="A82" i="1" s="1"/>
  <c r="A83" i="1" s="1"/>
  <c r="A84" i="1" s="1"/>
  <c r="A85" i="1" s="1"/>
  <c r="C77" i="1"/>
  <c r="D77" i="1" s="1"/>
  <c r="E77" i="1" s="1"/>
  <c r="F77" i="1" s="1"/>
  <c r="G77" i="1" s="1"/>
  <c r="H77" i="1" s="1"/>
  <c r="I77" i="1" s="1"/>
  <c r="A69" i="1"/>
  <c r="A70" i="1" s="1"/>
  <c r="A71" i="1" s="1"/>
  <c r="A72" i="1" s="1"/>
  <c r="A73" i="1" s="1"/>
  <c r="A74" i="1" s="1"/>
  <c r="A75" i="1" s="1"/>
  <c r="C67" i="1"/>
  <c r="D67" i="1" s="1"/>
  <c r="E67" i="1" s="1"/>
  <c r="F67" i="1" s="1"/>
  <c r="G67" i="1" s="1"/>
  <c r="H67" i="1" s="1"/>
  <c r="I67" i="1" s="1"/>
  <c r="A59" i="1"/>
  <c r="A60" i="1" s="1"/>
  <c r="A61" i="1" s="1"/>
  <c r="A62" i="1" s="1"/>
  <c r="A63" i="1" s="1"/>
  <c r="A64" i="1" s="1"/>
  <c r="A65" i="1" s="1"/>
  <c r="C57" i="1"/>
  <c r="D57" i="1" s="1"/>
  <c r="E57" i="1" s="1"/>
  <c r="F57" i="1" s="1"/>
  <c r="G57" i="1" s="1"/>
  <c r="H57" i="1" s="1"/>
  <c r="I57" i="1" s="1"/>
  <c r="A39" i="1"/>
  <c r="A40" i="1" s="1"/>
  <c r="A41" i="1" s="1"/>
  <c r="A42" i="1" s="1"/>
  <c r="A43" i="1" s="1"/>
  <c r="A44" i="1" s="1"/>
  <c r="A45" i="1" s="1"/>
  <c r="C37" i="1"/>
  <c r="D37" i="1" s="1"/>
  <c r="E37" i="1" s="1"/>
  <c r="F37" i="1" s="1"/>
  <c r="G37" i="1" s="1"/>
  <c r="H37" i="1" s="1"/>
  <c r="I37" i="1" s="1"/>
  <c r="A29" i="1"/>
  <c r="A30" i="1" s="1"/>
  <c r="A31" i="1" s="1"/>
  <c r="A32" i="1" s="1"/>
  <c r="A33" i="1" s="1"/>
  <c r="A34" i="1" s="1"/>
  <c r="A35" i="1" s="1"/>
  <c r="C27" i="1"/>
  <c r="D27" i="1" s="1"/>
  <c r="E27" i="1" s="1"/>
  <c r="F27" i="1" s="1"/>
  <c r="G27" i="1" s="1"/>
  <c r="H27" i="1" s="1"/>
  <c r="I27" i="1" s="1"/>
  <c r="A19" i="1"/>
  <c r="A20" i="1" s="1"/>
  <c r="A21" i="1" s="1"/>
  <c r="A22" i="1" s="1"/>
  <c r="A23" i="1" s="1"/>
  <c r="A24" i="1" s="1"/>
  <c r="A25" i="1" s="1"/>
  <c r="C17" i="1"/>
  <c r="D17" i="1" s="1"/>
  <c r="E17" i="1" s="1"/>
  <c r="F17" i="1" s="1"/>
  <c r="G17" i="1" s="1"/>
  <c r="H17" i="1" s="1"/>
  <c r="I17" i="1" s="1"/>
  <c r="N21" i="1" l="1"/>
  <c r="O21" i="1" s="1"/>
  <c r="P21" i="1" s="1"/>
  <c r="Q21" i="1" s="1"/>
  <c r="R21" i="1" s="1"/>
  <c r="S21" i="1" s="1"/>
  <c r="T21" i="1" s="1"/>
  <c r="M22" i="1"/>
  <c r="C28" i="1"/>
  <c r="D28" i="1" s="1"/>
  <c r="E28" i="1" s="1"/>
  <c r="F28" i="1" s="1"/>
  <c r="G28" i="1" s="1"/>
  <c r="H28" i="1" s="1"/>
  <c r="I28" i="1" s="1"/>
  <c r="B29" i="1" s="1"/>
  <c r="C29" i="1" s="1"/>
  <c r="D29" i="1" s="1"/>
  <c r="E29" i="1" s="1"/>
  <c r="F29" i="1" s="1"/>
  <c r="G29" i="1" s="1"/>
  <c r="H29" i="1" s="1"/>
  <c r="I29" i="1" s="1"/>
  <c r="B30" i="1" s="1"/>
  <c r="C30" i="1" s="1"/>
  <c r="D30" i="1" s="1"/>
  <c r="E30" i="1" s="1"/>
  <c r="F30" i="1" s="1"/>
  <c r="G30" i="1" s="1"/>
  <c r="H30" i="1" s="1"/>
  <c r="I30" i="1" s="1"/>
  <c r="B31" i="1" s="1"/>
  <c r="C31" i="1" s="1"/>
  <c r="D31" i="1" s="1"/>
  <c r="E31" i="1" s="1"/>
  <c r="F31" i="1" s="1"/>
  <c r="G31" i="1" s="1"/>
  <c r="H31" i="1" s="1"/>
  <c r="I31" i="1" s="1"/>
  <c r="B32" i="1" s="1"/>
  <c r="C32" i="1" s="1"/>
  <c r="D32" i="1" s="1"/>
  <c r="E32" i="1" s="1"/>
  <c r="F32" i="1" s="1"/>
  <c r="G32" i="1" s="1"/>
  <c r="H32" i="1" s="1"/>
  <c r="I32" i="1" s="1"/>
  <c r="B33" i="1" s="1"/>
  <c r="C33" i="1" s="1"/>
  <c r="D33" i="1" s="1"/>
  <c r="E33" i="1" s="1"/>
  <c r="F33" i="1" s="1"/>
  <c r="G33" i="1" s="1"/>
  <c r="H33" i="1" s="1"/>
  <c r="I33" i="1" s="1"/>
  <c r="B34" i="1" s="1"/>
  <c r="C34" i="1" s="1"/>
  <c r="D34" i="1" s="1"/>
  <c r="E34" i="1" s="1"/>
  <c r="F34" i="1" s="1"/>
  <c r="G34" i="1" s="1"/>
  <c r="H34" i="1" s="1"/>
  <c r="I34" i="1" s="1"/>
  <c r="B35" i="1" s="1"/>
  <c r="C35" i="1" s="1"/>
  <c r="D35" i="1" s="1"/>
  <c r="E35" i="1" s="1"/>
  <c r="F35" i="1" s="1"/>
  <c r="G35" i="1" s="1"/>
  <c r="H35" i="1" s="1"/>
  <c r="I35" i="1" s="1"/>
  <c r="I75" i="1" s="1"/>
  <c r="AC75" i="1" s="1"/>
  <c r="E70" i="1"/>
  <c r="E69" i="1"/>
  <c r="Y69" i="1" s="1"/>
  <c r="E68" i="1"/>
  <c r="D58" i="1"/>
  <c r="E71" i="1"/>
  <c r="E75" i="1"/>
  <c r="Y75" i="1" s="1"/>
  <c r="F68" i="1"/>
  <c r="Z68" i="1" s="1"/>
  <c r="F69" i="1"/>
  <c r="Z69" i="1" s="1"/>
  <c r="F70" i="1"/>
  <c r="Z70" i="1" s="1"/>
  <c r="F71" i="1"/>
  <c r="Z71" i="1" s="1"/>
  <c r="F72" i="1"/>
  <c r="F73" i="1"/>
  <c r="Z73" i="1" s="1"/>
  <c r="F74" i="1"/>
  <c r="F75" i="1"/>
  <c r="Z75" i="1" s="1"/>
  <c r="E74" i="1"/>
  <c r="G68" i="1"/>
  <c r="AA68" i="1" s="1"/>
  <c r="G69" i="1"/>
  <c r="G70" i="1"/>
  <c r="AA70" i="1" s="1"/>
  <c r="G71" i="1"/>
  <c r="G72" i="1"/>
  <c r="AA72" i="1" s="1"/>
  <c r="G73" i="1"/>
  <c r="G74" i="1"/>
  <c r="AA74" i="1" s="1"/>
  <c r="G75" i="1"/>
  <c r="H68" i="1"/>
  <c r="AB68" i="1" s="1"/>
  <c r="H69" i="1"/>
  <c r="AB69" i="1" s="1"/>
  <c r="H70" i="1"/>
  <c r="AB70" i="1" s="1"/>
  <c r="H71" i="1"/>
  <c r="AB71" i="1" s="1"/>
  <c r="H72" i="1"/>
  <c r="AB72" i="1" s="1"/>
  <c r="H73" i="1"/>
  <c r="AB73" i="1" s="1"/>
  <c r="H74" i="1"/>
  <c r="AB74" i="1" s="1"/>
  <c r="H75" i="1"/>
  <c r="AB75" i="1" s="1"/>
  <c r="C58" i="1"/>
  <c r="W58" i="1" s="1"/>
  <c r="I68" i="1"/>
  <c r="I69" i="1"/>
  <c r="AC69" i="1" s="1"/>
  <c r="I70" i="1"/>
  <c r="I71" i="1"/>
  <c r="AC71" i="1" s="1"/>
  <c r="I72" i="1"/>
  <c r="I73" i="1"/>
  <c r="AC73" i="1" s="1"/>
  <c r="I74" i="1"/>
  <c r="E72" i="1"/>
  <c r="B68" i="1"/>
  <c r="B69" i="1"/>
  <c r="AD68" i="1" s="1"/>
  <c r="B70" i="1"/>
  <c r="B71" i="1"/>
  <c r="AD70" i="1" s="1"/>
  <c r="B72" i="1"/>
  <c r="B73" i="1"/>
  <c r="AD72" i="1" s="1"/>
  <c r="B74" i="1"/>
  <c r="B75" i="1"/>
  <c r="AD74" i="1" s="1"/>
  <c r="E73" i="1"/>
  <c r="C68" i="1"/>
  <c r="W68" i="1" s="1"/>
  <c r="C69" i="1"/>
  <c r="C70" i="1"/>
  <c r="W70" i="1" s="1"/>
  <c r="C71" i="1"/>
  <c r="C72" i="1"/>
  <c r="W72" i="1" s="1"/>
  <c r="C73" i="1"/>
  <c r="C74" i="1"/>
  <c r="W74" i="1" s="1"/>
  <c r="C75" i="1"/>
  <c r="D68" i="1"/>
  <c r="X68" i="1" s="1"/>
  <c r="D69" i="1"/>
  <c r="X69" i="1" s="1"/>
  <c r="D70" i="1"/>
  <c r="D71" i="1"/>
  <c r="X71" i="1" s="1"/>
  <c r="D72" i="1"/>
  <c r="X72" i="1" s="1"/>
  <c r="D73" i="1"/>
  <c r="X73" i="1" s="1"/>
  <c r="D74" i="1"/>
  <c r="X74" i="1" s="1"/>
  <c r="D75" i="1"/>
  <c r="X75" i="1" s="1"/>
  <c r="M23" i="1" l="1"/>
  <c r="N22" i="1"/>
  <c r="O22" i="1" s="1"/>
  <c r="P22" i="1" s="1"/>
  <c r="Q22" i="1" s="1"/>
  <c r="R22" i="1" s="1"/>
  <c r="S22" i="1" s="1"/>
  <c r="T22" i="1" s="1"/>
  <c r="Y72" i="1"/>
  <c r="W73" i="1"/>
  <c r="AD73" i="1"/>
  <c r="AC74" i="1"/>
  <c r="AA75" i="1"/>
  <c r="Y74" i="1"/>
  <c r="W71" i="1"/>
  <c r="AD71" i="1"/>
  <c r="AC72" i="1"/>
  <c r="AA73" i="1"/>
  <c r="Z74" i="1"/>
  <c r="Y71" i="1"/>
  <c r="X70" i="1"/>
  <c r="X58" i="1"/>
  <c r="W69" i="1"/>
  <c r="AD69" i="1"/>
  <c r="AC70" i="1"/>
  <c r="AA71" i="1"/>
  <c r="Z72" i="1"/>
  <c r="Y68" i="1"/>
  <c r="W75" i="1"/>
  <c r="Y73" i="1"/>
  <c r="AD75" i="1"/>
  <c r="AC68" i="1"/>
  <c r="AA69" i="1"/>
  <c r="Y70" i="1"/>
  <c r="B78" i="1"/>
  <c r="E58" i="1"/>
  <c r="Y58" i="1" s="1"/>
  <c r="N23" i="1" l="1"/>
  <c r="O23" i="1" s="1"/>
  <c r="P23" i="1" s="1"/>
  <c r="Q23" i="1" s="1"/>
  <c r="R23" i="1" s="1"/>
  <c r="S23" i="1" s="1"/>
  <c r="T23" i="1" s="1"/>
  <c r="M24" i="1"/>
  <c r="AF68" i="1"/>
  <c r="AF69" i="1"/>
  <c r="AF71" i="1"/>
  <c r="AF74" i="1"/>
  <c r="AF73" i="1"/>
  <c r="AF72" i="1"/>
  <c r="AF70" i="1"/>
  <c r="AF75" i="1"/>
  <c r="B88" i="1"/>
  <c r="AF67" i="1"/>
  <c r="C78" i="1"/>
  <c r="W78" i="1" s="1"/>
  <c r="F58" i="1"/>
  <c r="Z58" i="1" s="1"/>
  <c r="N24" i="1" l="1"/>
  <c r="O24" i="1" s="1"/>
  <c r="P24" i="1" s="1"/>
  <c r="Q24" i="1" s="1"/>
  <c r="R24" i="1" s="1"/>
  <c r="S24" i="1" s="1"/>
  <c r="T24" i="1" s="1"/>
  <c r="M25" i="1"/>
  <c r="N25" i="1" s="1"/>
  <c r="O25" i="1" s="1"/>
  <c r="P25" i="1" s="1"/>
  <c r="Q25" i="1" s="1"/>
  <c r="R25" i="1" s="1"/>
  <c r="S25" i="1" s="1"/>
  <c r="T25" i="1" s="1"/>
  <c r="AF76" i="1"/>
  <c r="C88" i="1"/>
  <c r="W88" i="1" s="1"/>
  <c r="G58" i="1"/>
  <c r="AA58" i="1" s="1"/>
  <c r="D78" i="1"/>
  <c r="X78" i="1" s="1"/>
  <c r="D88" i="1" l="1"/>
  <c r="X88" i="1" s="1"/>
  <c r="E78" i="1"/>
  <c r="Y78" i="1" s="1"/>
  <c r="H58" i="1"/>
  <c r="AB58" i="1" s="1"/>
  <c r="E88" i="1" l="1"/>
  <c r="Y88" i="1" s="1"/>
  <c r="I58" i="1"/>
  <c r="AC58" i="1" s="1"/>
  <c r="F78" i="1"/>
  <c r="Z78" i="1" s="1"/>
  <c r="F88" i="1" l="1"/>
  <c r="Z88" i="1" s="1"/>
  <c r="B59" i="1"/>
  <c r="AD58" i="1" s="1"/>
  <c r="G78" i="1"/>
  <c r="AA78" i="1" s="1"/>
  <c r="G88" i="1" l="1"/>
  <c r="AA88" i="1" s="1"/>
  <c r="H78" i="1"/>
  <c r="AB78" i="1" s="1"/>
  <c r="C59" i="1"/>
  <c r="W59" i="1" s="1"/>
  <c r="H88" i="1" l="1"/>
  <c r="AB88" i="1" s="1"/>
  <c r="D59" i="1"/>
  <c r="X59" i="1" s="1"/>
  <c r="I78" i="1"/>
  <c r="AC78" i="1" s="1"/>
  <c r="I88" i="1" l="1"/>
  <c r="AC88" i="1" s="1"/>
  <c r="E59" i="1"/>
  <c r="Y59" i="1" s="1"/>
  <c r="B79" i="1"/>
  <c r="AD78" i="1" s="1"/>
  <c r="B89" i="1" l="1"/>
  <c r="AD88" i="1" s="1"/>
  <c r="C79" i="1"/>
  <c r="W79" i="1" s="1"/>
  <c r="F59" i="1"/>
  <c r="Z59" i="1" s="1"/>
  <c r="C89" i="1" l="1"/>
  <c r="W89" i="1" s="1"/>
  <c r="G59" i="1"/>
  <c r="AA59" i="1" s="1"/>
  <c r="D79" i="1"/>
  <c r="X79" i="1" s="1"/>
  <c r="D89" i="1" l="1"/>
  <c r="X89" i="1" s="1"/>
  <c r="H59" i="1"/>
  <c r="AB59" i="1" s="1"/>
  <c r="E79" i="1"/>
  <c r="Y79" i="1" s="1"/>
  <c r="E89" i="1" l="1"/>
  <c r="Y89" i="1" s="1"/>
  <c r="F79" i="1"/>
  <c r="Z79" i="1" s="1"/>
  <c r="I59" i="1"/>
  <c r="AC59" i="1" l="1"/>
  <c r="F89" i="1"/>
  <c r="Z89" i="1" s="1"/>
  <c r="B60" i="1"/>
  <c r="AD59" i="1" s="1"/>
  <c r="AF59" i="1" s="1"/>
  <c r="G79" i="1"/>
  <c r="AA79" i="1" s="1"/>
  <c r="G89" i="1" l="1"/>
  <c r="AA89" i="1" s="1"/>
  <c r="H79" i="1"/>
  <c r="AB79" i="1" s="1"/>
  <c r="C60" i="1"/>
  <c r="W60" i="1" s="1"/>
  <c r="H89" i="1" l="1"/>
  <c r="AB89" i="1" s="1"/>
  <c r="D60" i="1"/>
  <c r="X60" i="1" s="1"/>
  <c r="I79" i="1"/>
  <c r="AC79" i="1" s="1"/>
  <c r="I89" i="1" l="1"/>
  <c r="B80" i="1"/>
  <c r="AD79" i="1" s="1"/>
  <c r="AF79" i="1" s="1"/>
  <c r="E60" i="1"/>
  <c r="Y60" i="1" s="1"/>
  <c r="AC89" i="1" l="1"/>
  <c r="AF89" i="1" s="1"/>
  <c r="B90" i="1"/>
  <c r="AD89" i="1" s="1"/>
  <c r="F60" i="1"/>
  <c r="Z60" i="1" s="1"/>
  <c r="C80" i="1"/>
  <c r="W80" i="1" s="1"/>
  <c r="C90" i="1" l="1"/>
  <c r="W90" i="1" s="1"/>
  <c r="D80" i="1"/>
  <c r="X80" i="1" s="1"/>
  <c r="G60" i="1"/>
  <c r="AA60" i="1" s="1"/>
  <c r="D90" i="1" l="1"/>
  <c r="X90" i="1" s="1"/>
  <c r="H60" i="1"/>
  <c r="AB60" i="1" s="1"/>
  <c r="E80" i="1"/>
  <c r="Y80" i="1" s="1"/>
  <c r="E90" i="1" l="1"/>
  <c r="Y90" i="1" s="1"/>
  <c r="F80" i="1"/>
  <c r="Z80" i="1" s="1"/>
  <c r="I60" i="1"/>
  <c r="AC60" i="1" l="1"/>
  <c r="AF60" i="1" s="1"/>
  <c r="F90" i="1"/>
  <c r="Z90" i="1" s="1"/>
  <c r="G80" i="1"/>
  <c r="AA80" i="1" s="1"/>
  <c r="B61" i="1"/>
  <c r="AD60" i="1" s="1"/>
  <c r="G90" i="1" l="1"/>
  <c r="AA90" i="1" s="1"/>
  <c r="H80" i="1"/>
  <c r="AB80" i="1" s="1"/>
  <c r="C61" i="1"/>
  <c r="W61" i="1" s="1"/>
  <c r="H90" i="1" l="1"/>
  <c r="AB90" i="1" s="1"/>
  <c r="I80" i="1"/>
  <c r="AC80" i="1" s="1"/>
  <c r="D61" i="1"/>
  <c r="X61" i="1" s="1"/>
  <c r="I90" i="1" l="1"/>
  <c r="E61" i="1"/>
  <c r="Y61" i="1" s="1"/>
  <c r="B81" i="1"/>
  <c r="AD80" i="1" s="1"/>
  <c r="AF80" i="1" s="1"/>
  <c r="AF90" i="1" l="1"/>
  <c r="AC90" i="1"/>
  <c r="B91" i="1"/>
  <c r="AD90" i="1" s="1"/>
  <c r="C81" i="1"/>
  <c r="W81" i="1" s="1"/>
  <c r="F61" i="1"/>
  <c r="Z61" i="1" s="1"/>
  <c r="C91" i="1" l="1"/>
  <c r="W91" i="1" s="1"/>
  <c r="G61" i="1"/>
  <c r="AA61" i="1" s="1"/>
  <c r="D81" i="1"/>
  <c r="X81" i="1" s="1"/>
  <c r="D91" i="1" l="1"/>
  <c r="X91" i="1" s="1"/>
  <c r="E81" i="1"/>
  <c r="Y81" i="1" s="1"/>
  <c r="H61" i="1"/>
  <c r="AB61" i="1" s="1"/>
  <c r="E91" i="1" l="1"/>
  <c r="Y91" i="1" s="1"/>
  <c r="F81" i="1"/>
  <c r="Z81" i="1" s="1"/>
  <c r="I61" i="1"/>
  <c r="AC61" i="1" l="1"/>
  <c r="AF61" i="1" s="1"/>
  <c r="F91" i="1"/>
  <c r="Z91" i="1" s="1"/>
  <c r="G81" i="1"/>
  <c r="AA81" i="1" s="1"/>
  <c r="B62" i="1"/>
  <c r="AD61" i="1" s="1"/>
  <c r="G91" i="1" l="1"/>
  <c r="AA91" i="1" s="1"/>
  <c r="C62" i="1"/>
  <c r="W62" i="1" s="1"/>
  <c r="H81" i="1"/>
  <c r="AB81" i="1" s="1"/>
  <c r="H91" i="1" l="1"/>
  <c r="AB91" i="1" s="1"/>
  <c r="I81" i="1"/>
  <c r="AC81" i="1" s="1"/>
  <c r="D62" i="1"/>
  <c r="X62" i="1" s="1"/>
  <c r="I91" i="1" l="1"/>
  <c r="E62" i="1"/>
  <c r="Y62" i="1" s="1"/>
  <c r="B82" i="1"/>
  <c r="AD81" i="1" s="1"/>
  <c r="AF81" i="1" s="1"/>
  <c r="AC91" i="1" l="1"/>
  <c r="AF91" i="1" s="1"/>
  <c r="B92" i="1"/>
  <c r="AD91" i="1" s="1"/>
  <c r="C82" i="1"/>
  <c r="W82" i="1" s="1"/>
  <c r="F62" i="1"/>
  <c r="Z62" i="1" s="1"/>
  <c r="C92" i="1" l="1"/>
  <c r="W92" i="1" s="1"/>
  <c r="G62" i="1"/>
  <c r="AA62" i="1" s="1"/>
  <c r="D82" i="1"/>
  <c r="X82" i="1" s="1"/>
  <c r="D92" i="1" l="1"/>
  <c r="X92" i="1" s="1"/>
  <c r="H62" i="1"/>
  <c r="AB62" i="1" s="1"/>
  <c r="E82" i="1"/>
  <c r="Y82" i="1" s="1"/>
  <c r="E92" i="1" l="1"/>
  <c r="Y92" i="1" s="1"/>
  <c r="I62" i="1"/>
  <c r="F82" i="1"/>
  <c r="Z82" i="1" s="1"/>
  <c r="AC62" i="1" l="1"/>
  <c r="AF62" i="1" s="1"/>
  <c r="F92" i="1"/>
  <c r="Z92" i="1" s="1"/>
  <c r="B63" i="1"/>
  <c r="AD62" i="1" s="1"/>
  <c r="G82" i="1"/>
  <c r="AA82" i="1" s="1"/>
  <c r="G92" i="1" l="1"/>
  <c r="AA92" i="1" s="1"/>
  <c r="C63" i="1"/>
  <c r="W63" i="1" s="1"/>
  <c r="H82" i="1"/>
  <c r="AB82" i="1" s="1"/>
  <c r="H92" i="1" l="1"/>
  <c r="AB92" i="1" s="1"/>
  <c r="D63" i="1"/>
  <c r="X63" i="1" s="1"/>
  <c r="I82" i="1"/>
  <c r="AC82" i="1" s="1"/>
  <c r="I92" i="1" l="1"/>
  <c r="B83" i="1"/>
  <c r="AD82" i="1" s="1"/>
  <c r="AF82" i="1" s="1"/>
  <c r="E63" i="1"/>
  <c r="Y63" i="1" s="1"/>
  <c r="AF92" i="1" l="1"/>
  <c r="AC92" i="1"/>
  <c r="B93" i="1"/>
  <c r="AD92" i="1" s="1"/>
  <c r="C83" i="1"/>
  <c r="W83" i="1" s="1"/>
  <c r="F63" i="1"/>
  <c r="Z63" i="1" s="1"/>
  <c r="C93" i="1" l="1"/>
  <c r="W93" i="1" s="1"/>
  <c r="D83" i="1"/>
  <c r="X83" i="1" s="1"/>
  <c r="G63" i="1"/>
  <c r="AA63" i="1" s="1"/>
  <c r="D93" i="1" l="1"/>
  <c r="X93" i="1" s="1"/>
  <c r="H63" i="1"/>
  <c r="AB63" i="1" s="1"/>
  <c r="E83" i="1"/>
  <c r="Y83" i="1" s="1"/>
  <c r="E93" i="1" l="1"/>
  <c r="Y93" i="1" s="1"/>
  <c r="F83" i="1"/>
  <c r="Z83" i="1" s="1"/>
  <c r="I63" i="1"/>
  <c r="AC63" i="1" l="1"/>
  <c r="F93" i="1"/>
  <c r="Z93" i="1" s="1"/>
  <c r="B64" i="1"/>
  <c r="AD63" i="1" s="1"/>
  <c r="AF63" i="1" s="1"/>
  <c r="G83" i="1"/>
  <c r="AA83" i="1" s="1"/>
  <c r="G93" i="1" l="1"/>
  <c r="AA93" i="1" s="1"/>
  <c r="H83" i="1"/>
  <c r="AB83" i="1" s="1"/>
  <c r="C64" i="1"/>
  <c r="W64" i="1" s="1"/>
  <c r="H93" i="1" l="1"/>
  <c r="AB93" i="1" s="1"/>
  <c r="D64" i="1"/>
  <c r="X64" i="1" s="1"/>
  <c r="I83" i="1"/>
  <c r="AC83" i="1" s="1"/>
  <c r="I93" i="1" l="1"/>
  <c r="B84" i="1"/>
  <c r="AD83" i="1" s="1"/>
  <c r="AF83" i="1" s="1"/>
  <c r="E64" i="1"/>
  <c r="Y64" i="1" s="1"/>
  <c r="AF93" i="1" l="1"/>
  <c r="AC93" i="1"/>
  <c r="B94" i="1"/>
  <c r="AD93" i="1" s="1"/>
  <c r="F64" i="1"/>
  <c r="Z64" i="1" s="1"/>
  <c r="C84" i="1"/>
  <c r="W84" i="1" s="1"/>
  <c r="C94" i="1" l="1"/>
  <c r="W94" i="1" s="1"/>
  <c r="D84" i="1"/>
  <c r="X84" i="1" s="1"/>
  <c r="G64" i="1"/>
  <c r="AA64" i="1" s="1"/>
  <c r="D94" i="1" l="1"/>
  <c r="X94" i="1" s="1"/>
  <c r="H64" i="1"/>
  <c r="AB64" i="1" s="1"/>
  <c r="E84" i="1"/>
  <c r="Y84" i="1" s="1"/>
  <c r="E94" i="1" l="1"/>
  <c r="Y94" i="1" s="1"/>
  <c r="F84" i="1"/>
  <c r="Z84" i="1" s="1"/>
  <c r="I64" i="1"/>
  <c r="AF64" i="1" l="1"/>
  <c r="AC64" i="1"/>
  <c r="F94" i="1"/>
  <c r="Z94" i="1" s="1"/>
  <c r="B65" i="1"/>
  <c r="AD64" i="1" s="1"/>
  <c r="G84" i="1"/>
  <c r="AA84" i="1" s="1"/>
  <c r="G94" i="1" l="1"/>
  <c r="AA94" i="1" s="1"/>
  <c r="H84" i="1"/>
  <c r="AB84" i="1" s="1"/>
  <c r="C65" i="1"/>
  <c r="W65" i="1" s="1"/>
  <c r="H94" i="1" l="1"/>
  <c r="AB94" i="1" s="1"/>
  <c r="D65" i="1"/>
  <c r="X65" i="1" s="1"/>
  <c r="I84" i="1"/>
  <c r="AC84" i="1" s="1"/>
  <c r="I94" i="1" l="1"/>
  <c r="B85" i="1"/>
  <c r="AD84" i="1" s="1"/>
  <c r="AF84" i="1" s="1"/>
  <c r="E65" i="1"/>
  <c r="Y65" i="1" s="1"/>
  <c r="AC94" i="1" l="1"/>
  <c r="B95" i="1"/>
  <c r="AD94" i="1" s="1"/>
  <c r="AF94" i="1" s="1"/>
  <c r="F65" i="1"/>
  <c r="Z65" i="1" s="1"/>
  <c r="C85" i="1"/>
  <c r="W85" i="1" s="1"/>
  <c r="C95" i="1" l="1"/>
  <c r="W95" i="1" s="1"/>
  <c r="D85" i="1"/>
  <c r="X85" i="1" s="1"/>
  <c r="G65" i="1"/>
  <c r="AA65" i="1" s="1"/>
  <c r="D95" i="1" l="1"/>
  <c r="X95" i="1" s="1"/>
  <c r="I65" i="1"/>
  <c r="H65" i="1"/>
  <c r="AB65" i="1" s="1"/>
  <c r="E85" i="1"/>
  <c r="Y85" i="1" s="1"/>
  <c r="AC65" i="1" l="1"/>
  <c r="AD65" i="1"/>
  <c r="E95" i="1"/>
  <c r="Y95" i="1" s="1"/>
  <c r="AF65" i="1"/>
  <c r="AF58" i="1"/>
  <c r="F85" i="1"/>
  <c r="Z85" i="1" s="1"/>
  <c r="AF66" i="1" l="1"/>
  <c r="AF57" i="1"/>
  <c r="F95" i="1"/>
  <c r="Z95" i="1" s="1"/>
  <c r="G85" i="1"/>
  <c r="AA85" i="1" s="1"/>
  <c r="G95" i="1" l="1"/>
  <c r="AA95" i="1" s="1"/>
  <c r="I85" i="1"/>
  <c r="H85" i="1"/>
  <c r="AB85" i="1" s="1"/>
  <c r="AC85" i="1" l="1"/>
  <c r="AD85" i="1"/>
  <c r="H95" i="1"/>
  <c r="AB95" i="1" s="1"/>
  <c r="I95" i="1"/>
  <c r="AF78" i="1"/>
  <c r="AC95" i="1" l="1"/>
  <c r="AD95" i="1"/>
  <c r="AF85" i="1"/>
  <c r="AF86" i="1" s="1"/>
  <c r="AF95" i="1"/>
  <c r="AF88" i="1"/>
  <c r="AF77" i="1"/>
  <c r="AF96" i="1" l="1"/>
  <c r="AF8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tc={8BA3E731-AC37-4E17-B2D5-70A17AF93548}</author>
    <author>tc={668FD6DA-F698-45C4-88DC-446797970559}</author>
    <author>tc={BB6E9ED4-9F04-4B9D-93D7-1FC657B59DEA}</author>
  </authors>
  <commentList>
    <comment ref="A2" authorId="0" shapeId="0" xr:uid="{8BA3E731-AC37-4E17-B2D5-70A17AF93548}">
      <text>
        <t>[Threaded comment]
Your version of Excel allows you to read this threaded comment; however, any edits to it will get removed if the file is opened in a newer version of Excel. Learn more: https://go.microsoft.com/fwlink/?linkid=870924
Comment:
    Slightly cropped on the right and top</t>
      </text>
    </comment>
    <comment ref="A3" authorId="1" shapeId="0" xr:uid="{668FD6DA-F698-45C4-88DC-446797970559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</t>
      </text>
    </comment>
    <comment ref="A4" authorId="2" shapeId="0" xr:uid="{BB6E9ED4-9F04-4B9D-93D7-1FC657B59DEA}">
      <text>
        <t>[Threaded comment]
Your version of Excel allows you to read this threaded comment; however, any edits to it will get removed if the file is opened in a newer version of Excel. Learn more: https://go.microsoft.com/fwlink/?linkid=870924
Comment:
    Resize with AnitAlias</t>
      </text>
    </comment>
  </commentList>
</comments>
</file>

<file path=xl/sharedStrings.xml><?xml version="1.0" encoding="utf-8"?>
<sst xmlns="http://schemas.openxmlformats.org/spreadsheetml/2006/main" count="296" uniqueCount="155">
  <si>
    <t>8x8RGB</t>
  </si>
  <si>
    <t>a1a197a79e99a4a5a7a3a4a88d9296928f9a999d9e8b8e978a896a8e8d6f8e8d6ea196768c866c8d8676847973686f67888f65908b6bda5939f16b4ee3856b8c8865837e6079775e555f614c5157f3f4ecfdf8f4cdc8c2e7e7e5dedfe1c2c6c96269613e372feae9f1ee9d82c73500c3c5c4746f6c4d575947524a27201af8faf9faf6f7c9d1dcbcbecaeceff83a36336d72757d79877e786c312e291713141010123d3d3d211f2077778376788472767983838d777a7f777781777b846e6e76</t>
  </si>
  <si>
    <t>R</t>
  </si>
  <si>
    <t>G</t>
  </si>
  <si>
    <t>B</t>
  </si>
  <si>
    <t>GrayScale</t>
  </si>
  <si>
    <t>Len</t>
  </si>
  <si>
    <t>8*8*3*2</t>
  </si>
  <si>
    <t>C6</t>
  </si>
  <si>
    <t>54</t>
  </si>
  <si>
    <t>F0</t>
  </si>
  <si>
    <t>34</t>
  </si>
  <si>
    <t>30</t>
  </si>
  <si>
    <t>32</t>
  </si>
  <si>
    <t>E2</t>
  </si>
  <si>
    <t>90</t>
  </si>
  <si>
    <t>C654F0343032E290</t>
  </si>
  <si>
    <t>A2</t>
  </si>
  <si>
    <t>50</t>
  </si>
  <si>
    <t>9C</t>
  </si>
  <si>
    <t>24</t>
  </si>
  <si>
    <t>22</t>
  </si>
  <si>
    <t>C2</t>
  </si>
  <si>
    <t>D2</t>
  </si>
  <si>
    <t>A2509C342422C2D2</t>
  </si>
  <si>
    <t>F6</t>
  </si>
  <si>
    <t>58</t>
  </si>
  <si>
    <t>B4</t>
  </si>
  <si>
    <t>D6</t>
  </si>
  <si>
    <t>F65458B42422C2D6</t>
  </si>
  <si>
    <t>E6</t>
  </si>
  <si>
    <t>D8</t>
  </si>
  <si>
    <t>92</t>
  </si>
  <si>
    <t>E654D8342422C292</t>
  </si>
  <si>
    <t>a9a582b2a28bb7af9cbfae9ca29992a298a0a6a2a192959c8b8c6d8b8a6b8988699e937d8a836688857284816e696f6b8f956f94906dc23517e82d0aca2a0699946c87815d7a785f4d5854505559f7f8f3fff9f6d3d0cbdfdfdf7c7e8ba7abae4850454d4c48e7e6ebec967dd63e19d6dadb72716c4c54562e38302b2d22f9f7fafefaf7e4eceff8f9fd42393a33322e787d8074727f6a655f18151013140f07010336414317171777778181838f7276777f7e8674777c72707b767a8371767c</t>
  </si>
  <si>
    <t>testAdj</t>
  </si>
  <si>
    <t>Test</t>
  </si>
  <si>
    <t>test</t>
  </si>
  <si>
    <t>TestAdj</t>
  </si>
  <si>
    <t>testAAl</t>
  </si>
  <si>
    <t>8d887f9a928f96928f9b95958f8c918e8c8f918f8f8a8d938d8c738d8a789a937f9b9686928c7f88847885827779797295967096916fbb9273bba083ba987ba09073948f6e8d896d787a677c796ba19c8caea08a9d95859c9b988b8884999d9d676a6891908fc6bcb9ecc5bbc7a09a9593967a7c7d585c6041413c6f6d68aba6a2ada59f9997959c9d9f8f8f8d3c3b395154563c3a3c4d4c4d34312f1f1f223e414737383c4d4f537e828a7f828c7e8189838388797c84797d887a7e878e9199</t>
  </si>
  <si>
    <t>TestAAl</t>
  </si>
  <si>
    <t>52</t>
  </si>
  <si>
    <t>B0</t>
  </si>
  <si>
    <t>E0</t>
  </si>
  <si>
    <t>71</t>
  </si>
  <si>
    <t>70</t>
  </si>
  <si>
    <t>74</t>
  </si>
  <si>
    <t>A5</t>
  </si>
  <si>
    <t>D3</t>
  </si>
  <si>
    <t>52B0E0717074A5D3</t>
  </si>
  <si>
    <t>35</t>
  </si>
  <si>
    <t>64</t>
  </si>
  <si>
    <t>97</t>
  </si>
  <si>
    <t>5230B0357064A597</t>
  </si>
  <si>
    <t>51</t>
  </si>
  <si>
    <t>65</t>
  </si>
  <si>
    <t>C5</t>
  </si>
  <si>
    <t>517030657064A5C5</t>
  </si>
  <si>
    <t>75</t>
  </si>
  <si>
    <t>D5</t>
  </si>
  <si>
    <t>5270B0757064A5D5</t>
  </si>
  <si>
    <t>F2</t>
  </si>
  <si>
    <t>10</t>
  </si>
  <si>
    <t>82</t>
  </si>
  <si>
    <t>F210F075703482D2</t>
  </si>
  <si>
    <t>14</t>
  </si>
  <si>
    <t>84</t>
  </si>
  <si>
    <t>A2148435243482D2</t>
  </si>
  <si>
    <t>85</t>
  </si>
  <si>
    <t>E6148575642482D2</t>
  </si>
  <si>
    <t>94</t>
  </si>
  <si>
    <t>F6149475643482D2</t>
  </si>
  <si>
    <t>Set 1</t>
  </si>
  <si>
    <t>Set 2</t>
  </si>
  <si>
    <t>Diff</t>
  </si>
  <si>
    <t>test2</t>
  </si>
  <si>
    <t>71b4f060a9ea4fa0ef2f83bc317887345b33121d071a260b62b2f373baf55caef02a93de1e5d453b6422273d252834204eadf372bef96fb8e59daabe9f817f304a1b1b2d1343552f31b6ff4ab7ffa69a92fa838eff75998e6d60132e033a4c2699abd068a9b3bb9bafff738bda3e54924040527b1f364b17a88552604f1a826d53c55050a323377057414e721b3d6311416421728b425d8e385f743754532f3a5d2f3852186f6f4745633756890f51722e3f5a221630040613004e6915bd6b80</t>
  </si>
  <si>
    <t>test2AAl</t>
  </si>
  <si>
    <t>72b4ee59a4e857a4ea3d91eb1f86e2537c2e0814081f2c0e8ecafc4ea6f04ca3f04a93a40d31013467242637250f1e0751b0f075c0f75db6f8fffef6ffa8c00b1a0306110313220335affa4cb5f69d3f33f58293ff3c644d2f372f430e43552d88a8ce68cbfffda9c1ffb6c5f92c539d3a4c8dbf2c5e7a26c9c15f7b4426e68096feac9e9b596372702629400a77a624365f00bbdbf06398265c790b26430d2041143e5a0365691d7b9798568a040510027f925235550c030d05547606c46c92</t>
  </si>
  <si>
    <t>Test2</t>
  </si>
  <si>
    <t>05</t>
  </si>
  <si>
    <t>D1</t>
  </si>
  <si>
    <t>F9</t>
  </si>
  <si>
    <t>B1</t>
  </si>
  <si>
    <t>43</t>
  </si>
  <si>
    <t>93</t>
  </si>
  <si>
    <t>0584D1F9B0B14393</t>
  </si>
  <si>
    <t>81</t>
  </si>
  <si>
    <t>B5</t>
  </si>
  <si>
    <t>8184D1D3D6B54392</t>
  </si>
  <si>
    <t>86</t>
  </si>
  <si>
    <t>91</t>
  </si>
  <si>
    <t>D0</t>
  </si>
  <si>
    <t>4D</t>
  </si>
  <si>
    <t>B186E091D0B14D93</t>
  </si>
  <si>
    <t>8184D1D1F2B14393</t>
  </si>
  <si>
    <t>Test2AAl</t>
  </si>
  <si>
    <t>D</t>
  </si>
  <si>
    <t>D9</t>
  </si>
  <si>
    <t>79</t>
  </si>
  <si>
    <t>DC5D979B0B0D143</t>
  </si>
  <si>
    <t>C4</t>
  </si>
  <si>
    <t>C1</t>
  </si>
  <si>
    <t>A6</t>
  </si>
  <si>
    <t>E5</t>
  </si>
  <si>
    <t>81C4C1C186A6E543</t>
  </si>
  <si>
    <t>A1</t>
  </si>
  <si>
    <t>89</t>
  </si>
  <si>
    <t>80</t>
  </si>
  <si>
    <t>A4</t>
  </si>
  <si>
    <t>23</t>
  </si>
  <si>
    <t>A1C2C18980A4C123</t>
  </si>
  <si>
    <t>C0</t>
  </si>
  <si>
    <t>A0</t>
  </si>
  <si>
    <t>63</t>
  </si>
  <si>
    <t>81C0C1D9A0B4C163</t>
  </si>
  <si>
    <t>test3</t>
  </si>
  <si>
    <t>465c383e5d346f8f4ea9cf86d6eb9ca5c28097ac8396ab6a8aad4754684da5a9b5d4d3e1bdbcc499969f7b78819cae86b7cb90808372767980d9d4da696b7844433f7871798e9c7994a96491967f6e6e7837383da4a3ab4c48494c48494a5a3f72993c57853d978e8f2d2b302a2b267a74749792997d8a6e667c3c20231088837f100f0b0e0a096e66644b4a4f3c4f334f6c2a2233132646172b2a2613161f231e1a61736362744a12260d324120263f1f615b5bafaeb43e3936829871364331</t>
  </si>
  <si>
    <t>test3AAl</t>
  </si>
  <si>
    <t>5d6e494e6a447b9766b1c798c1d59ebcd2a2aec38e899b6381934f768a639699a0c2c2ceb9b7c1847f8496988f9fb27e91a8549ca57982808da29fa67b7981453e3f6a6469879677738d45888d6f8b87939d9ca17471735953525f5a62606957728e407381558a7d80848183515052635b5a63605f7d8a71647b383a5528686e5b6763663e3e3f4f47475c605677886e5b753d2e482536482959575436363727221e52584c5567494e69413e572e526846616259504c4e3c39366b7c653a4c38</t>
  </si>
  <si>
    <t>Test3</t>
  </si>
  <si>
    <t>Test3AAl</t>
  </si>
  <si>
    <t>B8</t>
  </si>
  <si>
    <t>33</t>
  </si>
  <si>
    <t>53</t>
  </si>
  <si>
    <t>73</t>
  </si>
  <si>
    <t>27</t>
  </si>
  <si>
    <t>B8335373E5273332</t>
  </si>
  <si>
    <t>13</t>
  </si>
  <si>
    <t>B8331313972713A2</t>
  </si>
  <si>
    <t>BC</t>
  </si>
  <si>
    <t>72</t>
  </si>
  <si>
    <t>77</t>
  </si>
  <si>
    <t>37</t>
  </si>
  <si>
    <t>BC72737277373232</t>
  </si>
  <si>
    <t>E7</t>
  </si>
  <si>
    <t>B8335373E7273332</t>
  </si>
  <si>
    <t>31</t>
  </si>
  <si>
    <t>88</t>
  </si>
  <si>
    <t>B7</t>
  </si>
  <si>
    <t>5A</t>
  </si>
  <si>
    <t>B8319388A624B75A</t>
  </si>
  <si>
    <t>F8</t>
  </si>
  <si>
    <t>25</t>
  </si>
  <si>
    <t>A7</t>
  </si>
  <si>
    <t>F8B19389A625A75A</t>
  </si>
  <si>
    <t>BA</t>
  </si>
  <si>
    <t>B2</t>
  </si>
  <si>
    <t>48</t>
  </si>
  <si>
    <t>66</t>
  </si>
  <si>
    <t>BA71B2486624325A</t>
  </si>
  <si>
    <t>49</t>
  </si>
  <si>
    <t>B8319349A624A65A</t>
  </si>
  <si>
    <t>8377778478767976728D83837F7A77817777847B77766E6E75726D87797D6C787E292E311413171210103D3D3D201F214A52471A2027F9FAF8F7F6FADCD1C9CABEBCF8EFEC33363A6169622F373EF1E9EA829DEE0035C7C4C5C36C6F7459574D615F5557514CECF4F3F4F8FDC2C8CDE5E7E7E1DFDEC9C6C2658F886B8B903959DA4E6BF16B85E365888C607E835E77796A898A6F8D8E6E8D8E7696A16C868C76868D737984676F6897A1A1999EA7A7A5A4A8A4A396928D9A8F929E9D99978E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</si>
</sst>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70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A1A197"/>
        <bgColor indexed="64"/>
      </patternFill>
    </fill>
    <fill>
      <patternFill patternType="solid">
        <fgColor rgb="FFA79E99"/>
        <bgColor indexed="64"/>
      </patternFill>
    </fill>
    <fill>
      <patternFill patternType="solid">
        <fgColor rgb="FFA4A5A7"/>
        <bgColor indexed="64"/>
      </patternFill>
    </fill>
    <fill>
      <patternFill patternType="solid">
        <fgColor rgb="FFA3A4A8"/>
        <bgColor indexed="64"/>
      </patternFill>
    </fill>
    <fill>
      <patternFill patternType="solid">
        <fgColor rgb="FF8D9296"/>
        <bgColor indexed="64"/>
      </patternFill>
    </fill>
    <fill>
      <patternFill patternType="solid">
        <fgColor rgb="FF928F9A"/>
        <bgColor indexed="64"/>
      </patternFill>
    </fill>
    <fill>
      <patternFill patternType="solid">
        <fgColor rgb="FF999D9E"/>
        <bgColor indexed="64"/>
      </patternFill>
    </fill>
    <fill>
      <patternFill patternType="solid">
        <fgColor rgb="FF8B8E97"/>
        <bgColor indexed="64"/>
      </patternFill>
    </fill>
    <fill>
      <patternFill patternType="solid">
        <fgColor rgb="FF8A896A"/>
        <bgColor indexed="64"/>
      </patternFill>
    </fill>
    <fill>
      <patternFill patternType="solid">
        <fgColor rgb="FF8E8D6F"/>
        <bgColor indexed="64"/>
      </patternFill>
    </fill>
    <fill>
      <patternFill patternType="solid">
        <fgColor rgb="FF8E8D6E"/>
        <bgColor indexed="64"/>
      </patternFill>
    </fill>
    <fill>
      <patternFill patternType="solid">
        <fgColor rgb="FFA19676"/>
        <bgColor indexed="64"/>
      </patternFill>
    </fill>
    <fill>
      <patternFill patternType="solid">
        <fgColor rgb="FF8C866C"/>
        <bgColor indexed="64"/>
      </patternFill>
    </fill>
    <fill>
      <patternFill patternType="solid">
        <fgColor rgb="FF8D8676"/>
        <bgColor indexed="64"/>
      </patternFill>
    </fill>
    <fill>
      <patternFill patternType="solid">
        <fgColor rgb="FF847973"/>
        <bgColor indexed="64"/>
      </patternFill>
    </fill>
    <fill>
      <patternFill patternType="solid">
        <fgColor rgb="FF686F67"/>
        <bgColor indexed="64"/>
      </patternFill>
    </fill>
    <fill>
      <patternFill patternType="solid">
        <fgColor rgb="FF888F65"/>
        <bgColor indexed="64"/>
      </patternFill>
    </fill>
    <fill>
      <patternFill patternType="solid">
        <fgColor rgb="FF908B6B"/>
        <bgColor indexed="64"/>
      </patternFill>
    </fill>
    <fill>
      <patternFill patternType="solid">
        <fgColor rgb="FFDA5939"/>
        <bgColor indexed="64"/>
      </patternFill>
    </fill>
    <fill>
      <patternFill patternType="solid">
        <fgColor rgb="FFF16B4E"/>
        <bgColor indexed="64"/>
      </patternFill>
    </fill>
    <fill>
      <patternFill patternType="solid">
        <fgColor rgb="FFE3856B"/>
        <bgColor indexed="64"/>
      </patternFill>
    </fill>
    <fill>
      <patternFill patternType="solid">
        <fgColor rgb="FF8C8865"/>
        <bgColor indexed="64"/>
      </patternFill>
    </fill>
    <fill>
      <patternFill patternType="solid">
        <fgColor rgb="FF837E60"/>
        <bgColor indexed="64"/>
      </patternFill>
    </fill>
    <fill>
      <patternFill patternType="solid">
        <fgColor rgb="FF79775E"/>
        <bgColor indexed="64"/>
      </patternFill>
    </fill>
    <fill>
      <patternFill patternType="solid">
        <fgColor rgb="FF555F61"/>
        <bgColor indexed="64"/>
      </patternFill>
    </fill>
    <fill>
      <patternFill patternType="solid">
        <fgColor rgb="FF4C5157"/>
        <bgColor indexed="64"/>
      </patternFill>
    </fill>
    <fill>
      <patternFill patternType="solid">
        <fgColor rgb="FFF3F4EC"/>
        <bgColor indexed="64"/>
      </patternFill>
    </fill>
    <fill>
      <patternFill patternType="solid">
        <fgColor rgb="FFFDF8F4"/>
        <bgColor indexed="64"/>
      </patternFill>
    </fill>
    <fill>
      <patternFill patternType="solid">
        <fgColor rgb="FFCDC8C2"/>
        <bgColor indexed="64"/>
      </patternFill>
    </fill>
    <fill>
      <patternFill patternType="solid">
        <fgColor rgb="FFE7E7E5"/>
        <bgColor indexed="64"/>
      </patternFill>
    </fill>
    <fill>
      <patternFill patternType="solid">
        <fgColor rgb="FFDEDFE1"/>
        <bgColor indexed="64"/>
      </patternFill>
    </fill>
    <fill>
      <patternFill patternType="solid">
        <fgColor rgb="FFC2C6C9"/>
        <bgColor indexed="64"/>
      </patternFill>
    </fill>
    <fill>
      <patternFill patternType="solid">
        <fgColor rgb="FF626961"/>
        <bgColor indexed="64"/>
      </patternFill>
    </fill>
    <fill>
      <patternFill patternType="solid">
        <fgColor rgb="FF3E372F"/>
        <bgColor indexed="64"/>
      </patternFill>
    </fill>
    <fill>
      <patternFill patternType="solid">
        <fgColor rgb="FFEAE9F1"/>
        <bgColor indexed="64"/>
      </patternFill>
    </fill>
    <fill>
      <patternFill patternType="solid">
        <fgColor rgb="FFEE9D82"/>
        <bgColor indexed="64"/>
      </patternFill>
    </fill>
    <fill>
      <patternFill patternType="solid">
        <fgColor rgb="FFC73500"/>
        <bgColor indexed="64"/>
      </patternFill>
    </fill>
    <fill>
      <patternFill patternType="solid">
        <fgColor rgb="FFC3C5C4"/>
        <bgColor indexed="64"/>
      </patternFill>
    </fill>
    <fill>
      <patternFill patternType="solid">
        <fgColor rgb="FF746F6C"/>
        <bgColor indexed="64"/>
      </patternFill>
    </fill>
    <fill>
      <patternFill patternType="solid">
        <fgColor rgb="FF4D5759"/>
        <bgColor indexed="64"/>
      </patternFill>
    </fill>
    <fill>
      <patternFill patternType="solid">
        <fgColor rgb="FF47524A"/>
        <bgColor indexed="64"/>
      </patternFill>
    </fill>
    <fill>
      <patternFill patternType="solid">
        <fgColor rgb="FF27201A"/>
        <bgColor indexed="64"/>
      </patternFill>
    </fill>
    <fill>
      <patternFill patternType="solid">
        <fgColor rgb="FFF8FAF9"/>
        <bgColor indexed="64"/>
      </patternFill>
    </fill>
    <fill>
      <patternFill patternType="solid">
        <fgColor rgb="FFFAF6F7"/>
        <bgColor indexed="64"/>
      </patternFill>
    </fill>
    <fill>
      <patternFill patternType="solid">
        <fgColor rgb="FFC9D1DC"/>
        <bgColor indexed="64"/>
      </patternFill>
    </fill>
    <fill>
      <patternFill patternType="solid">
        <fgColor rgb="FFBCBECA"/>
        <bgColor indexed="64"/>
      </patternFill>
    </fill>
    <fill>
      <patternFill patternType="solid">
        <fgColor rgb="FFECEFF8"/>
        <bgColor indexed="64"/>
      </patternFill>
    </fill>
    <fill>
      <patternFill patternType="solid">
        <fgColor rgb="FF3A3633"/>
        <bgColor indexed="64"/>
      </patternFill>
    </fill>
    <fill>
      <patternFill patternType="solid">
        <fgColor rgb="FF6D7275"/>
        <bgColor indexed="64"/>
      </patternFill>
    </fill>
    <fill>
      <patternFill patternType="solid">
        <fgColor rgb="FF7D7987"/>
        <bgColor indexed="64"/>
      </patternFill>
    </fill>
    <fill>
      <patternFill patternType="solid">
        <fgColor rgb="FF7E786C"/>
        <bgColor indexed="64"/>
      </patternFill>
    </fill>
    <fill>
      <patternFill patternType="solid">
        <fgColor rgb="FF312E29"/>
        <bgColor indexed="64"/>
      </patternFill>
    </fill>
    <fill>
      <patternFill patternType="solid">
        <fgColor rgb="FF171314"/>
        <bgColor indexed="64"/>
      </patternFill>
    </fill>
    <fill>
      <patternFill patternType="solid">
        <fgColor rgb="FF101012"/>
        <bgColor indexed="64"/>
      </patternFill>
    </fill>
    <fill>
      <patternFill patternType="solid">
        <fgColor rgb="FF211F20"/>
        <bgColor indexed="64"/>
      </patternFill>
    </fill>
    <fill>
      <patternFill patternType="solid">
        <fgColor rgb="FF777783"/>
        <bgColor indexed="64"/>
      </patternFill>
    </fill>
    <fill>
      <patternFill patternType="solid">
        <fgColor rgb="FF767884"/>
        <bgColor indexed="64"/>
      </patternFill>
    </fill>
    <fill>
      <patternFill patternType="solid">
        <fgColor rgb="FF727679"/>
        <bgColor indexed="64"/>
      </patternFill>
    </fill>
    <fill>
      <patternFill patternType="solid">
        <fgColor rgb="FF83838D"/>
        <bgColor indexed="64"/>
      </patternFill>
    </fill>
    <fill>
      <patternFill patternType="solid">
        <fgColor rgb="FF777A7F"/>
        <bgColor indexed="64"/>
      </patternFill>
    </fill>
    <fill>
      <patternFill patternType="solid">
        <fgColor rgb="FF777781"/>
        <bgColor indexed="64"/>
      </patternFill>
    </fill>
    <fill>
      <patternFill patternType="solid">
        <fgColor rgb="FF777B84"/>
        <bgColor indexed="64"/>
      </patternFill>
    </fill>
    <fill>
      <patternFill patternType="solid">
        <fgColor rgb="FF6E6E7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A9A582"/>
        <bgColor indexed="64"/>
      </patternFill>
    </fill>
    <fill>
      <patternFill patternType="solid">
        <fgColor rgb="FFB2A28B"/>
        <bgColor indexed="64"/>
      </patternFill>
    </fill>
    <fill>
      <patternFill patternType="solid">
        <fgColor rgb="FFB7AF9C"/>
        <bgColor indexed="64"/>
      </patternFill>
    </fill>
    <fill>
      <patternFill patternType="solid">
        <fgColor rgb="FFBFAE9C"/>
        <bgColor indexed="64"/>
      </patternFill>
    </fill>
    <fill>
      <patternFill patternType="solid">
        <fgColor rgb="FFA29992"/>
        <bgColor indexed="64"/>
      </patternFill>
    </fill>
    <fill>
      <patternFill patternType="solid">
        <fgColor rgb="FFA298A0"/>
        <bgColor indexed="64"/>
      </patternFill>
    </fill>
    <fill>
      <patternFill patternType="solid">
        <fgColor rgb="FFA6A2A1"/>
        <bgColor indexed="64"/>
      </patternFill>
    </fill>
    <fill>
      <patternFill patternType="solid">
        <fgColor rgb="FF92959C"/>
        <bgColor indexed="64"/>
      </patternFill>
    </fill>
    <fill>
      <patternFill patternType="solid">
        <fgColor rgb="FF8B8C6D"/>
        <bgColor indexed="64"/>
      </patternFill>
    </fill>
    <fill>
      <patternFill patternType="solid">
        <fgColor rgb="FF8B8A6B"/>
        <bgColor indexed="64"/>
      </patternFill>
    </fill>
    <fill>
      <patternFill patternType="solid">
        <fgColor rgb="FF898869"/>
        <bgColor indexed="64"/>
      </patternFill>
    </fill>
    <fill>
      <patternFill patternType="solid">
        <fgColor rgb="FF9E937D"/>
        <bgColor indexed="64"/>
      </patternFill>
    </fill>
    <fill>
      <patternFill patternType="solid">
        <fgColor rgb="FF8A8366"/>
        <bgColor indexed="64"/>
      </patternFill>
    </fill>
    <fill>
      <patternFill patternType="solid">
        <fgColor rgb="FF888572"/>
        <bgColor indexed="64"/>
      </patternFill>
    </fill>
    <fill>
      <patternFill patternType="solid">
        <fgColor rgb="FF84816E"/>
        <bgColor indexed="64"/>
      </patternFill>
    </fill>
    <fill>
      <patternFill patternType="solid">
        <fgColor rgb="FF696F6B"/>
        <bgColor indexed="64"/>
      </patternFill>
    </fill>
    <fill>
      <patternFill patternType="solid">
        <fgColor rgb="FF8F956F"/>
        <bgColor indexed="64"/>
      </patternFill>
    </fill>
    <fill>
      <patternFill patternType="solid">
        <fgColor rgb="FF94906D"/>
        <bgColor indexed="64"/>
      </patternFill>
    </fill>
    <fill>
      <patternFill patternType="solid">
        <fgColor rgb="FFC23517"/>
        <bgColor indexed="64"/>
      </patternFill>
    </fill>
    <fill>
      <patternFill patternType="solid">
        <fgColor rgb="FFE82D0A"/>
        <bgColor indexed="64"/>
      </patternFill>
    </fill>
    <fill>
      <patternFill patternType="solid">
        <fgColor rgb="FFCA2A06"/>
        <bgColor indexed="64"/>
      </patternFill>
    </fill>
    <fill>
      <patternFill patternType="solid">
        <fgColor rgb="FF99946C"/>
        <bgColor indexed="64"/>
      </patternFill>
    </fill>
    <fill>
      <patternFill patternType="solid">
        <fgColor rgb="FF87815D"/>
        <bgColor indexed="64"/>
      </patternFill>
    </fill>
    <fill>
      <patternFill patternType="solid">
        <fgColor rgb="FF7A785F"/>
        <bgColor indexed="64"/>
      </patternFill>
    </fill>
    <fill>
      <patternFill patternType="solid">
        <fgColor rgb="FF4D5854"/>
        <bgColor indexed="64"/>
      </patternFill>
    </fill>
    <fill>
      <patternFill patternType="solid">
        <fgColor rgb="FF505559"/>
        <bgColor indexed="64"/>
      </patternFill>
    </fill>
    <fill>
      <patternFill patternType="solid">
        <fgColor rgb="FFF7F8F3"/>
        <bgColor indexed="64"/>
      </patternFill>
    </fill>
    <fill>
      <patternFill patternType="solid">
        <fgColor rgb="FFFFF9F6"/>
        <bgColor indexed="64"/>
      </patternFill>
    </fill>
    <fill>
      <patternFill patternType="solid">
        <fgColor rgb="FFD3D0CB"/>
        <bgColor indexed="64"/>
      </patternFill>
    </fill>
    <fill>
      <patternFill patternType="solid">
        <fgColor rgb="FF7C7E8B"/>
        <bgColor indexed="64"/>
      </patternFill>
    </fill>
    <fill>
      <patternFill patternType="solid">
        <fgColor rgb="FFA7ABAE"/>
        <bgColor indexed="64"/>
      </patternFill>
    </fill>
    <fill>
      <patternFill patternType="solid">
        <fgColor rgb="FF485045"/>
        <bgColor indexed="64"/>
      </patternFill>
    </fill>
    <fill>
      <patternFill patternType="solid">
        <fgColor rgb="FF4D4C48"/>
        <bgColor indexed="64"/>
      </patternFill>
    </fill>
    <fill>
      <patternFill patternType="solid">
        <fgColor rgb="FFE7E6EB"/>
        <bgColor indexed="64"/>
      </patternFill>
    </fill>
    <fill>
      <patternFill patternType="solid">
        <fgColor rgb="FFEC967D"/>
        <bgColor indexed="64"/>
      </patternFill>
    </fill>
    <fill>
      <patternFill patternType="solid">
        <fgColor rgb="FFD63E19"/>
        <bgColor indexed="64"/>
      </patternFill>
    </fill>
    <fill>
      <patternFill patternType="solid">
        <fgColor rgb="FFD6DADB"/>
        <bgColor indexed="64"/>
      </patternFill>
    </fill>
    <fill>
      <patternFill patternType="solid">
        <fgColor rgb="FF72716C"/>
        <bgColor indexed="64"/>
      </patternFill>
    </fill>
    <fill>
      <patternFill patternType="solid">
        <fgColor rgb="FF4C5456"/>
        <bgColor indexed="64"/>
      </patternFill>
    </fill>
    <fill>
      <patternFill patternType="solid">
        <fgColor rgb="FF2E3830"/>
        <bgColor indexed="64"/>
      </patternFill>
    </fill>
    <fill>
      <patternFill patternType="solid">
        <fgColor rgb="FF2B2D22"/>
        <bgColor indexed="64"/>
      </patternFill>
    </fill>
    <fill>
      <patternFill patternType="solid">
        <fgColor rgb="FFF9F7FA"/>
        <bgColor indexed="64"/>
      </patternFill>
    </fill>
    <fill>
      <patternFill patternType="solid">
        <fgColor rgb="FFFEFAF7"/>
        <bgColor indexed="64"/>
      </patternFill>
    </fill>
    <fill>
      <patternFill patternType="solid">
        <fgColor rgb="FFE4ECEF"/>
        <bgColor indexed="64"/>
      </patternFill>
    </fill>
    <fill>
      <patternFill patternType="solid">
        <fgColor rgb="FFF8F9FD"/>
        <bgColor indexed="64"/>
      </patternFill>
    </fill>
    <fill>
      <patternFill patternType="solid">
        <fgColor rgb="FF42393A"/>
        <bgColor indexed="64"/>
      </patternFill>
    </fill>
    <fill>
      <patternFill patternType="solid">
        <fgColor rgb="FF33322E"/>
        <bgColor indexed="64"/>
      </patternFill>
    </fill>
    <fill>
      <patternFill patternType="solid">
        <fgColor rgb="FF787D80"/>
        <bgColor indexed="64"/>
      </patternFill>
    </fill>
    <fill>
      <patternFill patternType="solid">
        <fgColor rgb="FF74727F"/>
        <bgColor indexed="64"/>
      </patternFill>
    </fill>
    <fill>
      <patternFill patternType="solid">
        <fgColor rgb="FF6A655F"/>
        <bgColor indexed="64"/>
      </patternFill>
    </fill>
    <fill>
      <patternFill patternType="solid">
        <fgColor rgb="FF181510"/>
        <bgColor indexed="64"/>
      </patternFill>
    </fill>
    <fill>
      <patternFill patternType="solid">
        <fgColor rgb="FF13140F"/>
        <bgColor indexed="64"/>
      </patternFill>
    </fill>
    <fill>
      <patternFill patternType="solid">
        <fgColor rgb="FF070103"/>
        <bgColor indexed="64"/>
      </patternFill>
    </fill>
    <fill>
      <patternFill patternType="solid">
        <fgColor rgb="FF364143"/>
        <bgColor indexed="64"/>
      </patternFill>
    </fill>
    <fill>
      <patternFill patternType="solid">
        <fgColor rgb="FF81838F"/>
        <bgColor indexed="64"/>
      </patternFill>
    </fill>
    <fill>
      <patternFill patternType="solid">
        <fgColor rgb="FF727677"/>
        <bgColor indexed="64"/>
      </patternFill>
    </fill>
    <fill>
      <patternFill patternType="solid">
        <fgColor rgb="FF7F7E86"/>
        <bgColor indexed="64"/>
      </patternFill>
    </fill>
    <fill>
      <patternFill patternType="solid">
        <fgColor rgb="FF74777C"/>
        <bgColor indexed="64"/>
      </patternFill>
    </fill>
    <fill>
      <patternFill patternType="solid">
        <fgColor rgb="FF72707B"/>
        <bgColor indexed="64"/>
      </patternFill>
    </fill>
    <fill>
      <patternFill patternType="solid">
        <fgColor rgb="FF767A83"/>
        <bgColor indexed="64"/>
      </patternFill>
    </fill>
    <fill>
      <patternFill patternType="solid">
        <fgColor rgb="FF71767C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8D887F"/>
        <bgColor indexed="64"/>
      </patternFill>
    </fill>
    <fill>
      <patternFill patternType="solid">
        <fgColor rgb="FF9A928F"/>
        <bgColor indexed="64"/>
      </patternFill>
    </fill>
    <fill>
      <patternFill patternType="solid">
        <fgColor rgb="FF96928F"/>
        <bgColor indexed="64"/>
      </patternFill>
    </fill>
    <fill>
      <patternFill patternType="solid">
        <fgColor rgb="FF9B9595"/>
        <bgColor indexed="64"/>
      </patternFill>
    </fill>
    <fill>
      <patternFill patternType="solid">
        <fgColor rgb="FF8F8C91"/>
        <bgColor indexed="64"/>
      </patternFill>
    </fill>
    <fill>
      <patternFill patternType="solid">
        <fgColor rgb="FF8E8C8F"/>
        <bgColor indexed="64"/>
      </patternFill>
    </fill>
    <fill>
      <patternFill patternType="solid">
        <fgColor rgb="FF918F8F"/>
        <bgColor indexed="64"/>
      </patternFill>
    </fill>
    <fill>
      <patternFill patternType="solid">
        <fgColor rgb="FF8A8D93"/>
        <bgColor indexed="64"/>
      </patternFill>
    </fill>
    <fill>
      <patternFill patternType="solid">
        <fgColor rgb="FF8D8C73"/>
        <bgColor indexed="64"/>
      </patternFill>
    </fill>
    <fill>
      <patternFill patternType="solid">
        <fgColor rgb="FF8D8A78"/>
        <bgColor indexed="64"/>
      </patternFill>
    </fill>
    <fill>
      <patternFill patternType="solid">
        <fgColor rgb="FF9A937F"/>
        <bgColor indexed="64"/>
      </patternFill>
    </fill>
    <fill>
      <patternFill patternType="solid">
        <fgColor rgb="FF9B9686"/>
        <bgColor indexed="64"/>
      </patternFill>
    </fill>
    <fill>
      <patternFill patternType="solid">
        <fgColor rgb="FF928C7F"/>
        <bgColor indexed="64"/>
      </patternFill>
    </fill>
    <fill>
      <patternFill patternType="solid">
        <fgColor rgb="FF888478"/>
        <bgColor indexed="64"/>
      </patternFill>
    </fill>
    <fill>
      <patternFill patternType="solid">
        <fgColor rgb="FF858277"/>
        <bgColor indexed="64"/>
      </patternFill>
    </fill>
    <fill>
      <patternFill patternType="solid">
        <fgColor rgb="FF797972"/>
        <bgColor indexed="64"/>
      </patternFill>
    </fill>
    <fill>
      <patternFill patternType="solid">
        <fgColor rgb="FF959670"/>
        <bgColor indexed="64"/>
      </patternFill>
    </fill>
    <fill>
      <patternFill patternType="solid">
        <fgColor rgb="FF96916F"/>
        <bgColor indexed="64"/>
      </patternFill>
    </fill>
    <fill>
      <patternFill patternType="solid">
        <fgColor rgb="FFBB9273"/>
        <bgColor indexed="64"/>
      </patternFill>
    </fill>
    <fill>
      <patternFill patternType="solid">
        <fgColor rgb="FFBBA083"/>
        <bgColor indexed="64"/>
      </patternFill>
    </fill>
    <fill>
      <patternFill patternType="solid">
        <fgColor rgb="FFBA987B"/>
        <bgColor indexed="64"/>
      </patternFill>
    </fill>
    <fill>
      <patternFill patternType="solid">
        <fgColor rgb="FFA09073"/>
        <bgColor indexed="64"/>
      </patternFill>
    </fill>
    <fill>
      <patternFill patternType="solid">
        <fgColor rgb="FF948F6E"/>
        <bgColor indexed="64"/>
      </patternFill>
    </fill>
    <fill>
      <patternFill patternType="solid">
        <fgColor rgb="FF8D896D"/>
        <bgColor indexed="64"/>
      </patternFill>
    </fill>
    <fill>
      <patternFill patternType="solid">
        <fgColor rgb="FF787A67"/>
        <bgColor indexed="64"/>
      </patternFill>
    </fill>
    <fill>
      <patternFill patternType="solid">
        <fgColor rgb="FF7C796B"/>
        <bgColor indexed="64"/>
      </patternFill>
    </fill>
    <fill>
      <patternFill patternType="solid">
        <fgColor rgb="FFA19C8C"/>
        <bgColor indexed="64"/>
      </patternFill>
    </fill>
    <fill>
      <patternFill patternType="solid">
        <fgColor rgb="FFAEA08A"/>
        <bgColor indexed="64"/>
      </patternFill>
    </fill>
    <fill>
      <patternFill patternType="solid">
        <fgColor rgb="FF9D9585"/>
        <bgColor indexed="64"/>
      </patternFill>
    </fill>
    <fill>
      <patternFill patternType="solid">
        <fgColor rgb="FF9C9B98"/>
        <bgColor indexed="64"/>
      </patternFill>
    </fill>
    <fill>
      <patternFill patternType="solid">
        <fgColor rgb="FF8B8884"/>
        <bgColor indexed="64"/>
      </patternFill>
    </fill>
    <fill>
      <patternFill patternType="solid">
        <fgColor rgb="FF999D9D"/>
        <bgColor indexed="64"/>
      </patternFill>
    </fill>
    <fill>
      <patternFill patternType="solid">
        <fgColor rgb="FF676A68"/>
        <bgColor indexed="64"/>
      </patternFill>
    </fill>
    <fill>
      <patternFill patternType="solid">
        <fgColor rgb="FF91908F"/>
        <bgColor indexed="64"/>
      </patternFill>
    </fill>
    <fill>
      <patternFill patternType="solid">
        <fgColor rgb="FFC6BCB9"/>
        <bgColor indexed="64"/>
      </patternFill>
    </fill>
    <fill>
      <patternFill patternType="solid">
        <fgColor rgb="FFECC5BB"/>
        <bgColor indexed="64"/>
      </patternFill>
    </fill>
    <fill>
      <patternFill patternType="solid">
        <fgColor rgb="FFC7A09A"/>
        <bgColor indexed="64"/>
      </patternFill>
    </fill>
    <fill>
      <patternFill patternType="solid">
        <fgColor rgb="FF959396"/>
        <bgColor indexed="64"/>
      </patternFill>
    </fill>
    <fill>
      <patternFill patternType="solid">
        <fgColor rgb="FF7A7C7D"/>
        <bgColor indexed="64"/>
      </patternFill>
    </fill>
    <fill>
      <patternFill patternType="solid">
        <fgColor rgb="FF585C60"/>
        <bgColor indexed="64"/>
      </patternFill>
    </fill>
    <fill>
      <patternFill patternType="solid">
        <fgColor rgb="FF41413C"/>
        <bgColor indexed="64"/>
      </patternFill>
    </fill>
    <fill>
      <patternFill patternType="solid">
        <fgColor rgb="FF6F6D68"/>
        <bgColor indexed="64"/>
      </patternFill>
    </fill>
    <fill>
      <patternFill patternType="solid">
        <fgColor rgb="FFABA6A2"/>
        <bgColor indexed="64"/>
      </patternFill>
    </fill>
    <fill>
      <patternFill patternType="solid">
        <fgColor rgb="FFADA59F"/>
        <bgColor indexed="64"/>
      </patternFill>
    </fill>
    <fill>
      <patternFill patternType="solid">
        <fgColor rgb="FF999795"/>
        <bgColor indexed="64"/>
      </patternFill>
    </fill>
    <fill>
      <patternFill patternType="solid">
        <fgColor rgb="FF9C9D9F"/>
        <bgColor indexed="64"/>
      </patternFill>
    </fill>
    <fill>
      <patternFill patternType="solid">
        <fgColor rgb="FF8F8F8D"/>
        <bgColor indexed="64"/>
      </patternFill>
    </fill>
    <fill>
      <patternFill patternType="solid">
        <fgColor rgb="FF3C3B39"/>
        <bgColor indexed="64"/>
      </patternFill>
    </fill>
    <fill>
      <patternFill patternType="solid">
        <fgColor rgb="FF515456"/>
        <bgColor indexed="64"/>
      </patternFill>
    </fill>
    <fill>
      <patternFill patternType="solid">
        <fgColor rgb="FF3C3A3C"/>
        <bgColor indexed="64"/>
      </patternFill>
    </fill>
    <fill>
      <patternFill patternType="solid">
        <fgColor rgb="FF4D4C4D"/>
        <bgColor indexed="64"/>
      </patternFill>
    </fill>
    <fill>
      <patternFill patternType="solid">
        <fgColor rgb="FF34312F"/>
        <bgColor indexed="64"/>
      </patternFill>
    </fill>
    <fill>
      <patternFill patternType="solid">
        <fgColor rgb="FF1F1F22"/>
        <bgColor indexed="64"/>
      </patternFill>
    </fill>
    <fill>
      <patternFill patternType="solid">
        <fgColor rgb="FF3E4147"/>
        <bgColor indexed="64"/>
      </patternFill>
    </fill>
    <fill>
      <patternFill patternType="solid">
        <fgColor rgb="FF37383C"/>
        <bgColor indexed="64"/>
      </patternFill>
    </fill>
    <fill>
      <patternFill patternType="solid">
        <fgColor rgb="FF4D4F53"/>
        <bgColor indexed="64"/>
      </patternFill>
    </fill>
    <fill>
      <patternFill patternType="solid">
        <fgColor rgb="FF7E828A"/>
        <bgColor indexed="64"/>
      </patternFill>
    </fill>
    <fill>
      <patternFill patternType="solid">
        <fgColor rgb="FF7F828C"/>
        <bgColor indexed="64"/>
      </patternFill>
    </fill>
    <fill>
      <patternFill patternType="solid">
        <fgColor rgb="FF7E8189"/>
        <bgColor indexed="64"/>
      </patternFill>
    </fill>
    <fill>
      <patternFill patternType="solid">
        <fgColor rgb="FF838388"/>
        <bgColor indexed="64"/>
      </patternFill>
    </fill>
    <fill>
      <patternFill patternType="solid">
        <fgColor rgb="FF797C84"/>
        <bgColor indexed="64"/>
      </patternFill>
    </fill>
    <fill>
      <patternFill patternType="solid">
        <fgColor rgb="FF797D88"/>
        <bgColor indexed="64"/>
      </patternFill>
    </fill>
    <fill>
      <patternFill patternType="solid">
        <fgColor rgb="FF7A7E87"/>
        <bgColor indexed="64"/>
      </patternFill>
    </fill>
    <fill>
      <patternFill patternType="solid">
        <fgColor rgb="FF8E9199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72B4EE"/>
        <bgColor indexed="64"/>
      </patternFill>
    </fill>
    <fill>
      <patternFill patternType="solid">
        <fgColor rgb="FF59A4E8"/>
        <bgColor indexed="64"/>
      </patternFill>
    </fill>
    <fill>
      <patternFill patternType="solid">
        <fgColor rgb="FF57A4EA"/>
        <bgColor indexed="64"/>
      </patternFill>
    </fill>
    <fill>
      <patternFill patternType="solid">
        <fgColor rgb="FF3D91EB"/>
        <bgColor indexed="64"/>
      </patternFill>
    </fill>
    <fill>
      <patternFill patternType="solid">
        <fgColor rgb="FF1F86E2"/>
        <bgColor indexed="64"/>
      </patternFill>
    </fill>
    <fill>
      <patternFill patternType="solid">
        <fgColor rgb="FF537C2E"/>
        <bgColor indexed="64"/>
      </patternFill>
    </fill>
    <fill>
      <patternFill patternType="solid">
        <fgColor rgb="FF081408"/>
        <bgColor indexed="64"/>
      </patternFill>
    </fill>
    <fill>
      <patternFill patternType="solid">
        <fgColor rgb="FF1F2C0E"/>
        <bgColor indexed="64"/>
      </patternFill>
    </fill>
    <fill>
      <patternFill patternType="solid">
        <fgColor rgb="FF8ECAFC"/>
        <bgColor indexed="64"/>
      </patternFill>
    </fill>
    <fill>
      <patternFill patternType="solid">
        <fgColor rgb="FF4EA6F0"/>
        <bgColor indexed="64"/>
      </patternFill>
    </fill>
    <fill>
      <patternFill patternType="solid">
        <fgColor rgb="FF4CA3F0"/>
        <bgColor indexed="64"/>
      </patternFill>
    </fill>
    <fill>
      <patternFill patternType="solid">
        <fgColor rgb="FF4A93A4"/>
        <bgColor indexed="64"/>
      </patternFill>
    </fill>
    <fill>
      <patternFill patternType="solid">
        <fgColor rgb="FF0D3101"/>
        <bgColor indexed="64"/>
      </patternFill>
    </fill>
    <fill>
      <patternFill patternType="solid">
        <fgColor rgb="FF346724"/>
        <bgColor indexed="64"/>
      </patternFill>
    </fill>
    <fill>
      <patternFill patternType="solid">
        <fgColor rgb="FF263725"/>
        <bgColor indexed="64"/>
      </patternFill>
    </fill>
    <fill>
      <patternFill patternType="solid">
        <fgColor rgb="FF0F1E07"/>
        <bgColor indexed="64"/>
      </patternFill>
    </fill>
    <fill>
      <patternFill patternType="solid">
        <fgColor rgb="FF51B0F0"/>
        <bgColor indexed="64"/>
      </patternFill>
    </fill>
    <fill>
      <patternFill patternType="solid">
        <fgColor rgb="FF75C0F7"/>
        <bgColor indexed="64"/>
      </patternFill>
    </fill>
    <fill>
      <patternFill patternType="solid">
        <fgColor rgb="FF5DB6F8"/>
        <bgColor indexed="64"/>
      </patternFill>
    </fill>
    <fill>
      <patternFill patternType="solid">
        <fgColor rgb="FFFFFEF6"/>
        <bgColor indexed="64"/>
      </patternFill>
    </fill>
    <fill>
      <patternFill patternType="solid">
        <fgColor rgb="FFFFA8C0"/>
        <bgColor indexed="64"/>
      </patternFill>
    </fill>
    <fill>
      <patternFill patternType="solid">
        <fgColor rgb="FF0B1A03"/>
        <bgColor indexed="64"/>
      </patternFill>
    </fill>
    <fill>
      <patternFill patternType="solid">
        <fgColor rgb="FF061103"/>
        <bgColor indexed="64"/>
      </patternFill>
    </fill>
    <fill>
      <patternFill patternType="solid">
        <fgColor rgb="FF132203"/>
        <bgColor indexed="64"/>
      </patternFill>
    </fill>
    <fill>
      <patternFill patternType="solid">
        <fgColor rgb="FF35AFFA"/>
        <bgColor indexed="64"/>
      </patternFill>
    </fill>
    <fill>
      <patternFill patternType="solid">
        <fgColor rgb="FF4CB5F6"/>
        <bgColor indexed="64"/>
      </patternFill>
    </fill>
    <fill>
      <patternFill patternType="solid">
        <fgColor rgb="FF9D3F33"/>
        <bgColor indexed="64"/>
      </patternFill>
    </fill>
    <fill>
      <patternFill patternType="solid">
        <fgColor rgb="FFF58293"/>
        <bgColor indexed="64"/>
      </patternFill>
    </fill>
    <fill>
      <patternFill patternType="solid">
        <fgColor rgb="FFFF3C64"/>
        <bgColor indexed="64"/>
      </patternFill>
    </fill>
    <fill>
      <patternFill patternType="solid">
        <fgColor rgb="FF4D2F37"/>
        <bgColor indexed="64"/>
      </patternFill>
    </fill>
    <fill>
      <patternFill patternType="solid">
        <fgColor rgb="FF2F430E"/>
        <bgColor indexed="64"/>
      </patternFill>
    </fill>
    <fill>
      <patternFill patternType="solid">
        <fgColor rgb="FF43552D"/>
        <bgColor indexed="64"/>
      </patternFill>
    </fill>
    <fill>
      <patternFill patternType="solid">
        <fgColor rgb="FF88A8CE"/>
        <bgColor indexed="64"/>
      </patternFill>
    </fill>
    <fill>
      <patternFill patternType="solid">
        <fgColor rgb="FF68CBFF"/>
        <bgColor indexed="64"/>
      </patternFill>
    </fill>
    <fill>
      <patternFill patternType="solid">
        <fgColor rgb="FFFDA9C1"/>
        <bgColor indexed="64"/>
      </patternFill>
    </fill>
    <fill>
      <patternFill patternType="solid">
        <fgColor rgb="FFFFB6C5"/>
        <bgColor indexed="64"/>
      </patternFill>
    </fill>
    <fill>
      <patternFill patternType="solid">
        <fgColor rgb="FFF92C53"/>
        <bgColor indexed="64"/>
      </patternFill>
    </fill>
    <fill>
      <patternFill patternType="solid">
        <fgColor rgb="FF9D3A4C"/>
        <bgColor indexed="64"/>
      </patternFill>
    </fill>
    <fill>
      <patternFill patternType="solid">
        <fgColor rgb="FF8DBF2C"/>
        <bgColor indexed="64"/>
      </patternFill>
    </fill>
    <fill>
      <patternFill patternType="solid">
        <fgColor rgb="FF5E7A26"/>
        <bgColor indexed="64"/>
      </patternFill>
    </fill>
    <fill>
      <patternFill patternType="solid">
        <fgColor rgb="FFC9C15F"/>
        <bgColor indexed="64"/>
      </patternFill>
    </fill>
    <fill>
      <patternFill patternType="solid">
        <fgColor rgb="FF7B4426"/>
        <bgColor indexed="64"/>
      </patternFill>
    </fill>
    <fill>
      <patternFill patternType="solid">
        <fgColor rgb="FFE68096"/>
        <bgColor indexed="64"/>
      </patternFill>
    </fill>
    <fill>
      <patternFill patternType="solid">
        <fgColor rgb="FFFEAC9E"/>
        <bgColor indexed="64"/>
      </patternFill>
    </fill>
    <fill>
      <patternFill patternType="solid">
        <fgColor rgb="FF9B5963"/>
        <bgColor indexed="64"/>
      </patternFill>
    </fill>
    <fill>
      <patternFill patternType="solid">
        <fgColor rgb="FF727026"/>
        <bgColor indexed="64"/>
      </patternFill>
    </fill>
    <fill>
      <patternFill patternType="solid">
        <fgColor rgb="FF29400A"/>
        <bgColor indexed="64"/>
      </patternFill>
    </fill>
    <fill>
      <patternFill patternType="solid">
        <fgColor rgb="FF77A624"/>
        <bgColor indexed="64"/>
      </patternFill>
    </fill>
    <fill>
      <patternFill patternType="solid">
        <fgColor rgb="FF365F00"/>
        <bgColor indexed="64"/>
      </patternFill>
    </fill>
    <fill>
      <patternFill patternType="solid">
        <fgColor rgb="FFBBDBF0"/>
        <bgColor indexed="64"/>
      </patternFill>
    </fill>
    <fill>
      <patternFill patternType="solid">
        <fgColor rgb="FF639826"/>
        <bgColor indexed="64"/>
      </patternFill>
    </fill>
    <fill>
      <patternFill patternType="solid">
        <fgColor rgb="FF5C790B"/>
        <bgColor indexed="64"/>
      </patternFill>
    </fill>
    <fill>
      <patternFill patternType="solid">
        <fgColor rgb="FF26430D"/>
        <bgColor indexed="64"/>
      </patternFill>
    </fill>
    <fill>
      <patternFill patternType="solid">
        <fgColor rgb="FF204114"/>
        <bgColor indexed="64"/>
      </patternFill>
    </fill>
    <fill>
      <patternFill patternType="solid">
        <fgColor rgb="FF3E5A03"/>
        <bgColor indexed="64"/>
      </patternFill>
    </fill>
    <fill>
      <patternFill patternType="solid">
        <fgColor rgb="FF65691D"/>
        <bgColor indexed="64"/>
      </patternFill>
    </fill>
    <fill>
      <patternFill patternType="solid">
        <fgColor rgb="FF7B9798"/>
        <bgColor indexed="64"/>
      </patternFill>
    </fill>
    <fill>
      <patternFill patternType="solid">
        <fgColor rgb="FF568A04"/>
        <bgColor indexed="64"/>
      </patternFill>
    </fill>
    <fill>
      <patternFill patternType="solid">
        <fgColor rgb="FF051002"/>
        <bgColor indexed="64"/>
      </patternFill>
    </fill>
    <fill>
      <patternFill patternType="solid">
        <fgColor rgb="FF7F9252"/>
        <bgColor indexed="64"/>
      </patternFill>
    </fill>
    <fill>
      <patternFill patternType="solid">
        <fgColor rgb="FF35550C"/>
        <bgColor indexed="64"/>
      </patternFill>
    </fill>
    <fill>
      <patternFill patternType="solid">
        <fgColor rgb="FF030D05"/>
        <bgColor indexed="64"/>
      </patternFill>
    </fill>
    <fill>
      <patternFill patternType="solid">
        <fgColor rgb="FF547606"/>
        <bgColor indexed="64"/>
      </patternFill>
    </fill>
    <fill>
      <patternFill patternType="solid">
        <fgColor rgb="FFC46C92"/>
        <bgColor indexed="64"/>
      </patternFill>
    </fill>
    <fill>
      <patternFill patternType="solid">
        <fgColor rgb="FF71B4F0"/>
        <bgColor indexed="64"/>
      </patternFill>
    </fill>
    <fill>
      <patternFill patternType="solid">
        <fgColor rgb="FF60A9EA"/>
        <bgColor indexed="64"/>
      </patternFill>
    </fill>
    <fill>
      <patternFill patternType="solid">
        <fgColor rgb="FF4FA0EF"/>
        <bgColor indexed="64"/>
      </patternFill>
    </fill>
    <fill>
      <patternFill patternType="solid">
        <fgColor rgb="FF2F83BC"/>
        <bgColor indexed="64"/>
      </patternFill>
    </fill>
    <fill>
      <patternFill patternType="solid">
        <fgColor rgb="FF317887"/>
        <bgColor indexed="64"/>
      </patternFill>
    </fill>
    <fill>
      <patternFill patternType="solid">
        <fgColor rgb="FF345B33"/>
        <bgColor indexed="64"/>
      </patternFill>
    </fill>
    <fill>
      <patternFill patternType="solid">
        <fgColor rgb="FF121D07"/>
        <bgColor indexed="64"/>
      </patternFill>
    </fill>
    <fill>
      <patternFill patternType="solid">
        <fgColor rgb="FF1A260B"/>
        <bgColor indexed="64"/>
      </patternFill>
    </fill>
    <fill>
      <patternFill patternType="solid">
        <fgColor rgb="FF62B2F3"/>
        <bgColor indexed="64"/>
      </patternFill>
    </fill>
    <fill>
      <patternFill patternType="solid">
        <fgColor rgb="FF73BAF5"/>
        <bgColor indexed="64"/>
      </patternFill>
    </fill>
    <fill>
      <patternFill patternType="solid">
        <fgColor rgb="FF5CAEF0"/>
        <bgColor indexed="64"/>
      </patternFill>
    </fill>
    <fill>
      <patternFill patternType="solid">
        <fgColor rgb="FF2A93DE"/>
        <bgColor indexed="64"/>
      </patternFill>
    </fill>
    <fill>
      <patternFill patternType="solid">
        <fgColor rgb="FF1E5D45"/>
        <bgColor indexed="64"/>
      </patternFill>
    </fill>
    <fill>
      <patternFill patternType="solid">
        <fgColor rgb="FF3B6422"/>
        <bgColor indexed="64"/>
      </patternFill>
    </fill>
    <fill>
      <patternFill patternType="solid">
        <fgColor rgb="FF273D25"/>
        <bgColor indexed="64"/>
      </patternFill>
    </fill>
    <fill>
      <patternFill patternType="solid">
        <fgColor rgb="FF283420"/>
        <bgColor indexed="64"/>
      </patternFill>
    </fill>
    <fill>
      <patternFill patternType="solid">
        <fgColor rgb="FF4EADF3"/>
        <bgColor indexed="64"/>
      </patternFill>
    </fill>
    <fill>
      <patternFill patternType="solid">
        <fgColor rgb="FF72BEF9"/>
        <bgColor indexed="64"/>
      </patternFill>
    </fill>
    <fill>
      <patternFill patternType="solid">
        <fgColor rgb="FF6FB8E5"/>
        <bgColor indexed="64"/>
      </patternFill>
    </fill>
    <fill>
      <patternFill patternType="solid">
        <fgColor rgb="FF9DAABE"/>
        <bgColor indexed="64"/>
      </patternFill>
    </fill>
    <fill>
      <patternFill patternType="solid">
        <fgColor rgb="FF9F817F"/>
        <bgColor indexed="64"/>
      </patternFill>
    </fill>
    <fill>
      <patternFill patternType="solid">
        <fgColor rgb="FF304A1B"/>
        <bgColor indexed="64"/>
      </patternFill>
    </fill>
    <fill>
      <patternFill patternType="solid">
        <fgColor rgb="FF1B2D13"/>
        <bgColor indexed="64"/>
      </patternFill>
    </fill>
    <fill>
      <patternFill patternType="solid">
        <fgColor rgb="FF43552F"/>
        <bgColor indexed="64"/>
      </patternFill>
    </fill>
    <fill>
      <patternFill patternType="solid">
        <fgColor rgb="FF31B6FF"/>
        <bgColor indexed="64"/>
      </patternFill>
    </fill>
    <fill>
      <patternFill patternType="solid">
        <fgColor rgb="FF4AB7FF"/>
        <bgColor indexed="64"/>
      </patternFill>
    </fill>
    <fill>
      <patternFill patternType="solid">
        <fgColor rgb="FFA69A92"/>
        <bgColor indexed="64"/>
      </patternFill>
    </fill>
    <fill>
      <patternFill patternType="solid">
        <fgColor rgb="FFFA838E"/>
        <bgColor indexed="64"/>
      </patternFill>
    </fill>
    <fill>
      <patternFill patternType="solid">
        <fgColor rgb="FFFF7599"/>
        <bgColor indexed="64"/>
      </patternFill>
    </fill>
    <fill>
      <patternFill patternType="solid">
        <fgColor rgb="FF8E6D60"/>
        <bgColor indexed="64"/>
      </patternFill>
    </fill>
    <fill>
      <patternFill patternType="solid">
        <fgColor rgb="FF132E03"/>
        <bgColor indexed="64"/>
      </patternFill>
    </fill>
    <fill>
      <patternFill patternType="solid">
        <fgColor rgb="FF3A4C26"/>
        <bgColor indexed="64"/>
      </patternFill>
    </fill>
    <fill>
      <patternFill patternType="solid">
        <fgColor rgb="FF99ABD0"/>
        <bgColor indexed="64"/>
      </patternFill>
    </fill>
    <fill>
      <patternFill patternType="solid">
        <fgColor rgb="FF68A9B3"/>
        <bgColor indexed="64"/>
      </patternFill>
    </fill>
    <fill>
      <patternFill patternType="solid">
        <fgColor rgb="FFBB9BAF"/>
        <bgColor indexed="64"/>
      </patternFill>
    </fill>
    <fill>
      <patternFill patternType="solid">
        <fgColor rgb="FFFF738B"/>
        <bgColor indexed="64"/>
      </patternFill>
    </fill>
    <fill>
      <patternFill patternType="solid">
        <fgColor rgb="FFDA3E54"/>
        <bgColor indexed="64"/>
      </patternFill>
    </fill>
    <fill>
      <patternFill patternType="solid">
        <fgColor rgb="FF924040"/>
        <bgColor indexed="64"/>
      </patternFill>
    </fill>
    <fill>
      <patternFill patternType="solid">
        <fgColor rgb="FF527B1F"/>
        <bgColor indexed="64"/>
      </patternFill>
    </fill>
    <fill>
      <patternFill patternType="solid">
        <fgColor rgb="FF364B17"/>
        <bgColor indexed="64"/>
      </patternFill>
    </fill>
    <fill>
      <patternFill patternType="solid">
        <fgColor rgb="FFA88552"/>
        <bgColor indexed="64"/>
      </patternFill>
    </fill>
    <fill>
      <patternFill patternType="solid">
        <fgColor rgb="FF604F1A"/>
        <bgColor indexed="64"/>
      </patternFill>
    </fill>
    <fill>
      <patternFill patternType="solid">
        <fgColor rgb="FF826D53"/>
        <bgColor indexed="64"/>
      </patternFill>
    </fill>
    <fill>
      <patternFill patternType="solid">
        <fgColor rgb="FFC55050"/>
        <bgColor indexed="64"/>
      </patternFill>
    </fill>
    <fill>
      <patternFill patternType="solid">
        <fgColor rgb="FFA32337"/>
        <bgColor indexed="64"/>
      </patternFill>
    </fill>
    <fill>
      <patternFill patternType="solid">
        <fgColor rgb="FF705741"/>
        <bgColor indexed="64"/>
      </patternFill>
    </fill>
    <fill>
      <patternFill patternType="solid">
        <fgColor rgb="FF4E721B"/>
        <bgColor indexed="64"/>
      </patternFill>
    </fill>
    <fill>
      <patternFill patternType="solid">
        <fgColor rgb="FF3D6311"/>
        <bgColor indexed="64"/>
      </patternFill>
    </fill>
    <fill>
      <patternFill patternType="solid">
        <fgColor rgb="FF416421"/>
        <bgColor indexed="64"/>
      </patternFill>
    </fill>
    <fill>
      <patternFill patternType="solid">
        <fgColor rgb="FF728B42"/>
        <bgColor indexed="64"/>
      </patternFill>
    </fill>
    <fill>
      <patternFill patternType="solid">
        <fgColor rgb="FF5D8E38"/>
        <bgColor indexed="64"/>
      </patternFill>
    </fill>
    <fill>
      <patternFill patternType="solid">
        <fgColor rgb="FF5F7437"/>
        <bgColor indexed="64"/>
      </patternFill>
    </fill>
    <fill>
      <patternFill patternType="solid">
        <fgColor rgb="FF54532F"/>
        <bgColor indexed="64"/>
      </patternFill>
    </fill>
    <fill>
      <patternFill patternType="solid">
        <fgColor rgb="FF3A5D2F"/>
        <bgColor indexed="64"/>
      </patternFill>
    </fill>
    <fill>
      <patternFill patternType="solid">
        <fgColor rgb="FF385218"/>
        <bgColor indexed="64"/>
      </patternFill>
    </fill>
    <fill>
      <patternFill patternType="solid">
        <fgColor rgb="FF6F6F47"/>
        <bgColor indexed="64"/>
      </patternFill>
    </fill>
    <fill>
      <patternFill patternType="solid">
        <fgColor rgb="FF456337"/>
        <bgColor indexed="64"/>
      </patternFill>
    </fill>
    <fill>
      <patternFill patternType="solid">
        <fgColor rgb="FF56890F"/>
        <bgColor indexed="64"/>
      </patternFill>
    </fill>
    <fill>
      <patternFill patternType="solid">
        <fgColor rgb="FF51722E"/>
        <bgColor indexed="64"/>
      </patternFill>
    </fill>
    <fill>
      <patternFill patternType="solid">
        <fgColor rgb="FF3F5A22"/>
        <bgColor indexed="64"/>
      </patternFill>
    </fill>
    <fill>
      <patternFill patternType="solid">
        <fgColor rgb="FF163004"/>
        <bgColor indexed="64"/>
      </patternFill>
    </fill>
    <fill>
      <patternFill patternType="solid">
        <fgColor rgb="FF061300"/>
        <bgColor indexed="64"/>
      </patternFill>
    </fill>
    <fill>
      <patternFill patternType="solid">
        <fgColor rgb="FF4E6915"/>
        <bgColor indexed="64"/>
      </patternFill>
    </fill>
    <fill>
      <patternFill patternType="solid">
        <fgColor rgb="FFBD6B80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465C38"/>
        <bgColor indexed="64"/>
      </patternFill>
    </fill>
    <fill>
      <patternFill patternType="solid">
        <fgColor rgb="FF3E5D34"/>
        <bgColor indexed="64"/>
      </patternFill>
    </fill>
    <fill>
      <patternFill patternType="solid">
        <fgColor rgb="FF6F8F4E"/>
        <bgColor indexed="64"/>
      </patternFill>
    </fill>
    <fill>
      <patternFill patternType="solid">
        <fgColor rgb="FFA9CF86"/>
        <bgColor indexed="64"/>
      </patternFill>
    </fill>
    <fill>
      <patternFill patternType="solid">
        <fgColor rgb="FFD6EB9C"/>
        <bgColor indexed="64"/>
      </patternFill>
    </fill>
    <fill>
      <patternFill patternType="solid">
        <fgColor rgb="FFA5C280"/>
        <bgColor indexed="64"/>
      </patternFill>
    </fill>
    <fill>
      <patternFill patternType="solid">
        <fgColor rgb="FF97AC83"/>
        <bgColor indexed="64"/>
      </patternFill>
    </fill>
    <fill>
      <patternFill patternType="solid">
        <fgColor rgb="FF96AB6A"/>
        <bgColor indexed="64"/>
      </patternFill>
    </fill>
    <fill>
      <patternFill patternType="solid">
        <fgColor rgb="FF8AAD47"/>
        <bgColor indexed="64"/>
      </patternFill>
    </fill>
    <fill>
      <patternFill patternType="solid">
        <fgColor rgb="FF54684D"/>
        <bgColor indexed="64"/>
      </patternFill>
    </fill>
    <fill>
      <patternFill patternType="solid">
        <fgColor rgb="FFA5A9B5"/>
        <bgColor indexed="64"/>
      </patternFill>
    </fill>
    <fill>
      <patternFill patternType="solid">
        <fgColor rgb="FFD4D3E1"/>
        <bgColor indexed="64"/>
      </patternFill>
    </fill>
    <fill>
      <patternFill patternType="solid">
        <fgColor rgb="FFBDBCC4"/>
        <bgColor indexed="64"/>
      </patternFill>
    </fill>
    <fill>
      <patternFill patternType="solid">
        <fgColor rgb="FF99969F"/>
        <bgColor indexed="64"/>
      </patternFill>
    </fill>
    <fill>
      <patternFill patternType="solid">
        <fgColor rgb="FF7B7881"/>
        <bgColor indexed="64"/>
      </patternFill>
    </fill>
    <fill>
      <patternFill patternType="solid">
        <fgColor rgb="FF9CAE86"/>
        <bgColor indexed="64"/>
      </patternFill>
    </fill>
    <fill>
      <patternFill patternType="solid">
        <fgColor rgb="FFB7CB90"/>
        <bgColor indexed="64"/>
      </patternFill>
    </fill>
    <fill>
      <patternFill patternType="solid">
        <fgColor rgb="FF808372"/>
        <bgColor indexed="64"/>
      </patternFill>
    </fill>
    <fill>
      <patternFill patternType="solid">
        <fgColor rgb="FF767980"/>
        <bgColor indexed="64"/>
      </patternFill>
    </fill>
    <fill>
      <patternFill patternType="solid">
        <fgColor rgb="FFD9D4DA"/>
        <bgColor indexed="64"/>
      </patternFill>
    </fill>
    <fill>
      <patternFill patternType="solid">
        <fgColor rgb="FF696B78"/>
        <bgColor indexed="64"/>
      </patternFill>
    </fill>
    <fill>
      <patternFill patternType="solid">
        <fgColor rgb="FF44433F"/>
        <bgColor indexed="64"/>
      </patternFill>
    </fill>
    <fill>
      <patternFill patternType="solid">
        <fgColor rgb="FF787179"/>
        <bgColor indexed="64"/>
      </patternFill>
    </fill>
    <fill>
      <patternFill patternType="solid">
        <fgColor rgb="FF8E9C79"/>
        <bgColor indexed="64"/>
      </patternFill>
    </fill>
    <fill>
      <patternFill patternType="solid">
        <fgColor rgb="FF94A964"/>
        <bgColor indexed="64"/>
      </patternFill>
    </fill>
    <fill>
      <patternFill patternType="solid">
        <fgColor rgb="FF91967F"/>
        <bgColor indexed="64"/>
      </patternFill>
    </fill>
    <fill>
      <patternFill patternType="solid">
        <fgColor rgb="FF6E6E78"/>
        <bgColor indexed="64"/>
      </patternFill>
    </fill>
    <fill>
      <patternFill patternType="solid">
        <fgColor rgb="FF37383D"/>
        <bgColor indexed="64"/>
      </patternFill>
    </fill>
    <fill>
      <patternFill patternType="solid">
        <fgColor rgb="FFA4A3AB"/>
        <bgColor indexed="64"/>
      </patternFill>
    </fill>
    <fill>
      <patternFill patternType="solid">
        <fgColor rgb="FF4C4849"/>
        <bgColor indexed="64"/>
      </patternFill>
    </fill>
    <fill>
      <patternFill patternType="solid">
        <fgColor rgb="FF4A5A3F"/>
        <bgColor indexed="64"/>
      </patternFill>
    </fill>
    <fill>
      <patternFill patternType="solid">
        <fgColor rgb="FF72993C"/>
        <bgColor indexed="64"/>
      </patternFill>
    </fill>
    <fill>
      <patternFill patternType="solid">
        <fgColor rgb="FF57853D"/>
        <bgColor indexed="64"/>
      </patternFill>
    </fill>
    <fill>
      <patternFill patternType="solid">
        <fgColor rgb="FF978E8F"/>
        <bgColor indexed="64"/>
      </patternFill>
    </fill>
    <fill>
      <patternFill patternType="solid">
        <fgColor rgb="FF2D2B30"/>
        <bgColor indexed="64"/>
      </patternFill>
    </fill>
    <fill>
      <patternFill patternType="solid">
        <fgColor rgb="FF2A2B26"/>
        <bgColor indexed="64"/>
      </patternFill>
    </fill>
    <fill>
      <patternFill patternType="solid">
        <fgColor rgb="FF7A7474"/>
        <bgColor indexed="64"/>
      </patternFill>
    </fill>
    <fill>
      <patternFill patternType="solid">
        <fgColor rgb="FF979299"/>
        <bgColor indexed="64"/>
      </patternFill>
    </fill>
    <fill>
      <patternFill patternType="solid">
        <fgColor rgb="FF7D8A6E"/>
        <bgColor indexed="64"/>
      </patternFill>
    </fill>
    <fill>
      <patternFill patternType="solid">
        <fgColor rgb="FF667C3C"/>
        <bgColor indexed="64"/>
      </patternFill>
    </fill>
    <fill>
      <patternFill patternType="solid">
        <fgColor rgb="FF202310"/>
        <bgColor indexed="64"/>
      </patternFill>
    </fill>
    <fill>
      <patternFill patternType="solid">
        <fgColor rgb="FF88837F"/>
        <bgColor indexed="64"/>
      </patternFill>
    </fill>
    <fill>
      <patternFill patternType="solid">
        <fgColor rgb="FF100F0B"/>
        <bgColor indexed="64"/>
      </patternFill>
    </fill>
    <fill>
      <patternFill patternType="solid">
        <fgColor rgb="FF0E0A09"/>
        <bgColor indexed="64"/>
      </patternFill>
    </fill>
    <fill>
      <patternFill patternType="solid">
        <fgColor rgb="FF6E6664"/>
        <bgColor indexed="64"/>
      </patternFill>
    </fill>
    <fill>
      <patternFill patternType="solid">
        <fgColor rgb="FF4B4A4F"/>
        <bgColor indexed="64"/>
      </patternFill>
    </fill>
    <fill>
      <patternFill patternType="solid">
        <fgColor rgb="FF3C4F33"/>
        <bgColor indexed="64"/>
      </patternFill>
    </fill>
    <fill>
      <patternFill patternType="solid">
        <fgColor rgb="FF4F6C2A"/>
        <bgColor indexed="64"/>
      </patternFill>
    </fill>
    <fill>
      <patternFill patternType="solid">
        <fgColor rgb="FF223313"/>
        <bgColor indexed="64"/>
      </patternFill>
    </fill>
    <fill>
      <patternFill patternType="solid">
        <fgColor rgb="FF264617"/>
        <bgColor indexed="64"/>
      </patternFill>
    </fill>
    <fill>
      <patternFill patternType="solid">
        <fgColor rgb="FF2B2A26"/>
        <bgColor indexed="64"/>
      </patternFill>
    </fill>
    <fill>
      <patternFill patternType="solid">
        <fgColor rgb="FF13161F"/>
        <bgColor indexed="64"/>
      </patternFill>
    </fill>
    <fill>
      <patternFill patternType="solid">
        <fgColor rgb="FF231E1A"/>
        <bgColor indexed="64"/>
      </patternFill>
    </fill>
    <fill>
      <patternFill patternType="solid">
        <fgColor rgb="FF617363"/>
        <bgColor indexed="64"/>
      </patternFill>
    </fill>
    <fill>
      <patternFill patternType="solid">
        <fgColor rgb="FF62744A"/>
        <bgColor indexed="64"/>
      </patternFill>
    </fill>
    <fill>
      <patternFill patternType="solid">
        <fgColor rgb="FF12260D"/>
        <bgColor indexed="64"/>
      </patternFill>
    </fill>
    <fill>
      <patternFill patternType="solid">
        <fgColor rgb="FF324120"/>
        <bgColor indexed="64"/>
      </patternFill>
    </fill>
    <fill>
      <patternFill patternType="solid">
        <fgColor rgb="FF263F1F"/>
        <bgColor indexed="64"/>
      </patternFill>
    </fill>
    <fill>
      <patternFill patternType="solid">
        <fgColor rgb="FF615B5B"/>
        <bgColor indexed="64"/>
      </patternFill>
    </fill>
    <fill>
      <patternFill patternType="solid">
        <fgColor rgb="FFAFAEB4"/>
        <bgColor indexed="64"/>
      </patternFill>
    </fill>
    <fill>
      <patternFill patternType="solid">
        <fgColor rgb="FF3E3936"/>
        <bgColor indexed="64"/>
      </patternFill>
    </fill>
    <fill>
      <patternFill patternType="solid">
        <fgColor rgb="FF829871"/>
        <bgColor indexed="64"/>
      </patternFill>
    </fill>
    <fill>
      <patternFill patternType="solid">
        <fgColor rgb="FF364331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5D6E49"/>
        <bgColor indexed="64"/>
      </patternFill>
    </fill>
    <fill>
      <patternFill patternType="solid">
        <fgColor rgb="FF4E6A44"/>
        <bgColor indexed="64"/>
      </patternFill>
    </fill>
    <fill>
      <patternFill patternType="solid">
        <fgColor rgb="FF7B9766"/>
        <bgColor indexed="64"/>
      </patternFill>
    </fill>
    <fill>
      <patternFill patternType="solid">
        <fgColor rgb="FFB1C798"/>
        <bgColor indexed="64"/>
      </patternFill>
    </fill>
    <fill>
      <patternFill patternType="solid">
        <fgColor rgb="FFC1D59E"/>
        <bgColor indexed="64"/>
      </patternFill>
    </fill>
    <fill>
      <patternFill patternType="solid">
        <fgColor rgb="FFBCD2A2"/>
        <bgColor indexed="64"/>
      </patternFill>
    </fill>
    <fill>
      <patternFill patternType="solid">
        <fgColor rgb="FFAEC38E"/>
        <bgColor indexed="64"/>
      </patternFill>
    </fill>
    <fill>
      <patternFill patternType="solid">
        <fgColor rgb="FF899B63"/>
        <bgColor indexed="64"/>
      </patternFill>
    </fill>
    <fill>
      <patternFill patternType="solid">
        <fgColor rgb="FF81934F"/>
        <bgColor indexed="64"/>
      </patternFill>
    </fill>
    <fill>
      <patternFill patternType="solid">
        <fgColor rgb="FF768A63"/>
        <bgColor indexed="64"/>
      </patternFill>
    </fill>
    <fill>
      <patternFill patternType="solid">
        <fgColor rgb="FF9699A0"/>
        <bgColor indexed="64"/>
      </patternFill>
    </fill>
    <fill>
      <patternFill patternType="solid">
        <fgColor rgb="FFC2C2CE"/>
        <bgColor indexed="64"/>
      </patternFill>
    </fill>
    <fill>
      <patternFill patternType="solid">
        <fgColor rgb="FFB9B7C1"/>
        <bgColor indexed="64"/>
      </patternFill>
    </fill>
    <fill>
      <patternFill patternType="solid">
        <fgColor rgb="FF847F84"/>
        <bgColor indexed="64"/>
      </patternFill>
    </fill>
    <fill>
      <patternFill patternType="solid">
        <fgColor rgb="FF96988F"/>
        <bgColor indexed="64"/>
      </patternFill>
    </fill>
    <fill>
      <patternFill patternType="solid">
        <fgColor rgb="FF9FB27E"/>
        <bgColor indexed="64"/>
      </patternFill>
    </fill>
    <fill>
      <patternFill patternType="solid">
        <fgColor rgb="FF91A854"/>
        <bgColor indexed="64"/>
      </patternFill>
    </fill>
    <fill>
      <patternFill patternType="solid">
        <fgColor rgb="FF9CA579"/>
        <bgColor indexed="64"/>
      </patternFill>
    </fill>
    <fill>
      <patternFill patternType="solid">
        <fgColor rgb="FF82808D"/>
        <bgColor indexed="64"/>
      </patternFill>
    </fill>
    <fill>
      <patternFill patternType="solid">
        <fgColor rgb="FFA29FA6"/>
        <bgColor indexed="64"/>
      </patternFill>
    </fill>
    <fill>
      <patternFill patternType="solid">
        <fgColor rgb="FF7B7981"/>
        <bgColor indexed="64"/>
      </patternFill>
    </fill>
    <fill>
      <patternFill patternType="solid">
        <fgColor rgb="FF453E3F"/>
        <bgColor indexed="64"/>
      </patternFill>
    </fill>
    <fill>
      <patternFill patternType="solid">
        <fgColor rgb="FF6A6469"/>
        <bgColor indexed="64"/>
      </patternFill>
    </fill>
    <fill>
      <patternFill patternType="solid">
        <fgColor rgb="FF879677"/>
        <bgColor indexed="64"/>
      </patternFill>
    </fill>
    <fill>
      <patternFill patternType="solid">
        <fgColor rgb="FF738D45"/>
        <bgColor indexed="64"/>
      </patternFill>
    </fill>
    <fill>
      <patternFill patternType="solid">
        <fgColor rgb="FF888D6F"/>
        <bgColor indexed="64"/>
      </patternFill>
    </fill>
    <fill>
      <patternFill patternType="solid">
        <fgColor rgb="FF8B8793"/>
        <bgColor indexed="64"/>
      </patternFill>
    </fill>
    <fill>
      <patternFill patternType="solid">
        <fgColor rgb="FF9D9CA1"/>
        <bgColor indexed="64"/>
      </patternFill>
    </fill>
    <fill>
      <patternFill patternType="solid">
        <fgColor rgb="FF747173"/>
        <bgColor indexed="64"/>
      </patternFill>
    </fill>
    <fill>
      <patternFill patternType="solid">
        <fgColor rgb="FF595352"/>
        <bgColor indexed="64"/>
      </patternFill>
    </fill>
    <fill>
      <patternFill patternType="solid">
        <fgColor rgb="FF5F5A62"/>
        <bgColor indexed="64"/>
      </patternFill>
    </fill>
    <fill>
      <patternFill patternType="solid">
        <fgColor rgb="FF606957"/>
        <bgColor indexed="64"/>
      </patternFill>
    </fill>
    <fill>
      <patternFill patternType="solid">
        <fgColor rgb="FF728E40"/>
        <bgColor indexed="64"/>
      </patternFill>
    </fill>
    <fill>
      <patternFill patternType="solid">
        <fgColor rgb="FF738155"/>
        <bgColor indexed="64"/>
      </patternFill>
    </fill>
    <fill>
      <patternFill patternType="solid">
        <fgColor rgb="FF8A7D80"/>
        <bgColor indexed="64"/>
      </patternFill>
    </fill>
    <fill>
      <patternFill patternType="solid">
        <fgColor rgb="FF848183"/>
        <bgColor indexed="64"/>
      </patternFill>
    </fill>
    <fill>
      <patternFill patternType="solid">
        <fgColor rgb="FF515052"/>
        <bgColor indexed="64"/>
      </patternFill>
    </fill>
    <fill>
      <patternFill patternType="solid">
        <fgColor rgb="FF635B5A"/>
        <bgColor indexed="64"/>
      </patternFill>
    </fill>
    <fill>
      <patternFill patternType="solid">
        <fgColor rgb="FF63605F"/>
        <bgColor indexed="64"/>
      </patternFill>
    </fill>
    <fill>
      <patternFill patternType="solid">
        <fgColor rgb="FF7D8A71"/>
        <bgColor indexed="64"/>
      </patternFill>
    </fill>
    <fill>
      <patternFill patternType="solid">
        <fgColor rgb="FF647B38"/>
        <bgColor indexed="64"/>
      </patternFill>
    </fill>
    <fill>
      <patternFill patternType="solid">
        <fgColor rgb="FF3A5528"/>
        <bgColor indexed="64"/>
      </patternFill>
    </fill>
    <fill>
      <patternFill patternType="solid">
        <fgColor rgb="FF686E5B"/>
        <bgColor indexed="64"/>
      </patternFill>
    </fill>
    <fill>
      <patternFill patternType="solid">
        <fgColor rgb="FF676366"/>
        <bgColor indexed="64"/>
      </patternFill>
    </fill>
    <fill>
      <patternFill patternType="solid">
        <fgColor rgb="FF3E3E3F"/>
        <bgColor indexed="64"/>
      </patternFill>
    </fill>
    <fill>
      <patternFill patternType="solid">
        <fgColor rgb="FF4F4747"/>
        <bgColor indexed="64"/>
      </patternFill>
    </fill>
    <fill>
      <patternFill patternType="solid">
        <fgColor rgb="FF5C6056"/>
        <bgColor indexed="64"/>
      </patternFill>
    </fill>
    <fill>
      <patternFill patternType="solid">
        <fgColor rgb="FF77886E"/>
        <bgColor indexed="64"/>
      </patternFill>
    </fill>
    <fill>
      <patternFill patternType="solid">
        <fgColor rgb="FF5B753D"/>
        <bgColor indexed="64"/>
      </patternFill>
    </fill>
    <fill>
      <patternFill patternType="solid">
        <fgColor rgb="FF2E4825"/>
        <bgColor indexed="64"/>
      </patternFill>
    </fill>
    <fill>
      <patternFill patternType="solid">
        <fgColor rgb="FF364829"/>
        <bgColor indexed="64"/>
      </patternFill>
    </fill>
    <fill>
      <patternFill patternType="solid">
        <fgColor rgb="FF595754"/>
        <bgColor indexed="64"/>
      </patternFill>
    </fill>
    <fill>
      <patternFill patternType="solid">
        <fgColor rgb="FF363637"/>
        <bgColor indexed="64"/>
      </patternFill>
    </fill>
    <fill>
      <patternFill patternType="solid">
        <fgColor rgb="FF27221E"/>
        <bgColor indexed="64"/>
      </patternFill>
    </fill>
    <fill>
      <patternFill patternType="solid">
        <fgColor rgb="FF52584C"/>
        <bgColor indexed="64"/>
      </patternFill>
    </fill>
    <fill>
      <patternFill patternType="solid">
        <fgColor rgb="FF556749"/>
        <bgColor indexed="64"/>
      </patternFill>
    </fill>
    <fill>
      <patternFill patternType="solid">
        <fgColor rgb="FF4E6941"/>
        <bgColor indexed="64"/>
      </patternFill>
    </fill>
    <fill>
      <patternFill patternType="solid">
        <fgColor rgb="FF3E572E"/>
        <bgColor indexed="64"/>
      </patternFill>
    </fill>
    <fill>
      <patternFill patternType="solid">
        <fgColor rgb="FF526846"/>
        <bgColor indexed="64"/>
      </patternFill>
    </fill>
    <fill>
      <patternFill patternType="solid">
        <fgColor rgb="FF616259"/>
        <bgColor indexed="64"/>
      </patternFill>
    </fill>
    <fill>
      <patternFill patternType="solid">
        <fgColor rgb="FF504C4E"/>
        <bgColor indexed="64"/>
      </patternFill>
    </fill>
    <fill>
      <patternFill patternType="solid">
        <fgColor rgb="FF3C3936"/>
        <bgColor indexed="64"/>
      </patternFill>
    </fill>
    <fill>
      <patternFill patternType="solid">
        <fgColor rgb="FF6B7C65"/>
        <bgColor indexed="64"/>
      </patternFill>
    </fill>
    <fill>
      <patternFill patternType="solid">
        <fgColor rgb="FF3A4C38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4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0" borderId="0" xfId="0" applyAlignment="1">
      <alignment horizontal="center"/>
    </xf>
    <xf numFmtId="0" fontId="0" fillId="0" borderId="0" xfId="0" quotePrefix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0" borderId="1" xfId="0" applyBorder="1"/>
    <xf numFmtId="0" fontId="0" fillId="0" borderId="0" xfId="0" applyAlignment="1">
      <alignment horizontal="left"/>
    </xf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96" borderId="3" xfId="0" applyFill="1" applyBorder="1"/>
    <xf numFmtId="0" fontId="0" fillId="696" borderId="4" xfId="0" applyFill="1" applyBorder="1"/>
    <xf numFmtId="0" fontId="0" fillId="696" borderId="5" xfId="0" applyFill="1" applyBorder="1"/>
    <xf numFmtId="0" fontId="0" fillId="696" borderId="6" xfId="0" applyFill="1" applyBorder="1"/>
    <xf numFmtId="0" fontId="0" fillId="696" borderId="0" xfId="0" applyFill="1" applyBorder="1"/>
    <xf numFmtId="0" fontId="0" fillId="696" borderId="7" xfId="0" applyFill="1" applyBorder="1"/>
    <xf numFmtId="0" fontId="0" fillId="696" borderId="8" xfId="0" applyFill="1" applyBorder="1"/>
    <xf numFmtId="0" fontId="0" fillId="696" borderId="1" xfId="0" applyFill="1" applyBorder="1"/>
    <xf numFmtId="0" fontId="0" fillId="696" borderId="9" xfId="0" applyFill="1" applyBorder="1"/>
    <xf numFmtId="0" fontId="0" fillId="697" borderId="3" xfId="0" applyFill="1" applyBorder="1"/>
    <xf numFmtId="0" fontId="0" fillId="697" borderId="4" xfId="0" applyFill="1" applyBorder="1"/>
    <xf numFmtId="0" fontId="0" fillId="697" borderId="5" xfId="0" applyFill="1" applyBorder="1"/>
    <xf numFmtId="0" fontId="0" fillId="698" borderId="3" xfId="0" applyFill="1" applyBorder="1"/>
    <xf numFmtId="0" fontId="0" fillId="698" borderId="4" xfId="0" applyFill="1" applyBorder="1"/>
    <xf numFmtId="0" fontId="0" fillId="698" borderId="5" xfId="0" applyFill="1" applyBorder="1"/>
    <xf numFmtId="0" fontId="0" fillId="697" borderId="6" xfId="0" applyFill="1" applyBorder="1"/>
    <xf numFmtId="0" fontId="0" fillId="697" borderId="0" xfId="0" applyFill="1" applyBorder="1"/>
    <xf numFmtId="0" fontId="0" fillId="697" borderId="7" xfId="0" applyFill="1" applyBorder="1"/>
    <xf numFmtId="0" fontId="0" fillId="699" borderId="6" xfId="0" applyFill="1" applyBorder="1"/>
    <xf numFmtId="0" fontId="0" fillId="699" borderId="0" xfId="0" applyFill="1" applyBorder="1"/>
    <xf numFmtId="0" fontId="0" fillId="699" borderId="7" xfId="0" applyFill="1" applyBorder="1"/>
    <xf numFmtId="0" fontId="0" fillId="698" borderId="6" xfId="0" applyFill="1" applyBorder="1"/>
    <xf numFmtId="0" fontId="0" fillId="698" borderId="0" xfId="0" applyFill="1" applyBorder="1"/>
    <xf numFmtId="0" fontId="0" fillId="698" borderId="7" xfId="0" applyFill="1" applyBorder="1"/>
    <xf numFmtId="0" fontId="0" fillId="698" borderId="8" xfId="0" applyFill="1" applyBorder="1"/>
    <xf numFmtId="0" fontId="0" fillId="698" borderId="1" xfId="0" applyFill="1" applyBorder="1"/>
    <xf numFmtId="0" fontId="0" fillId="698" borderId="9" xfId="0" applyFill="1" applyBorder="1"/>
    <xf numFmtId="0" fontId="0" fillId="697" borderId="8" xfId="0" applyFill="1" applyBorder="1"/>
    <xf numFmtId="0" fontId="0" fillId="697" borderId="1" xfId="0" applyFill="1" applyBorder="1"/>
    <xf numFmtId="0" fontId="0" fillId="697" borderId="9" xfId="0" applyFill="1" applyBorder="1"/>
    <xf numFmtId="0" fontId="0" fillId="699" borderId="3" xfId="0" applyFill="1" applyBorder="1"/>
    <xf numFmtId="0" fontId="0" fillId="699" borderId="4" xfId="0" applyFill="1" applyBorder="1"/>
    <xf numFmtId="0" fontId="0" fillId="699" borderId="5" xfId="0" applyFill="1" applyBorder="1"/>
    <xf numFmtId="0" fontId="0" fillId="699" borderId="8" xfId="0" applyFill="1" applyBorder="1"/>
    <xf numFmtId="0" fontId="0" fillId="699" borderId="1" xfId="0" applyFill="1" applyBorder="1"/>
    <xf numFmtId="0" fontId="0" fillId="699" borderId="9" xfId="0" applyFill="1" applyBorder="1"/>
    <xf numFmtId="0" fontId="0" fillId="700" borderId="3" xfId="0" applyFill="1" applyBorder="1"/>
    <xf numFmtId="0" fontId="0" fillId="700" borderId="4" xfId="0" applyFill="1" applyBorder="1"/>
    <xf numFmtId="0" fontId="0" fillId="700" borderId="5" xfId="0" applyFill="1" applyBorder="1"/>
    <xf numFmtId="0" fontId="0" fillId="700" borderId="8" xfId="0" applyFill="1" applyBorder="1"/>
    <xf numFmtId="0" fontId="0" fillId="700" borderId="1" xfId="0" applyFill="1" applyBorder="1"/>
    <xf numFmtId="0" fontId="0" fillId="700" borderId="9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84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duard Woermann" id="{FDBA66BE-6051-407B-A29E-D39EB1BB7431}" userId="S::eduard.woermann@woermann.co::14e1d1ba-8161-46b3-932e-4fa568acc7e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09-26T12:17:54.03" personId="{FDBA66BE-6051-407B-A29E-D39EB1BB7431}" id="{8BA3E731-AC37-4E17-B2D5-70A17AF93548}">
    <text>Slightly cropped on the right and top</text>
  </threadedComment>
  <threadedComment ref="A3" dT="2022-09-26T12:17:30.08" personId="{FDBA66BE-6051-407B-A29E-D39EB1BB7431}" id="{668FD6DA-F698-45C4-88DC-446797970559}">
    <text>Original</text>
  </threadedComment>
  <threadedComment ref="A4" dT="2022-09-26T12:17:20.37" personId="{FDBA66BE-6051-407B-A29E-D39EB1BB7431}" id="{BB6E9ED4-9F04-4B9D-93D7-1FC657B59DEA}">
    <text>Resize with AnitAlias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96"/>
  <sheetViews>
    <sheetView topLeftCell="A94" workbookViewId="0">
      <selection activeCell="P98" sqref="P98"/>
    </sheetView>
  </sheetViews>
  <sheetFormatPr defaultRowHeight="15" x14ac:dyDescent="0.25"/>
  <cols>
    <col min="2" max="9" width="3" customWidth="1"/>
    <col min="11" max="31" width="2.85546875" customWidth="1"/>
    <col min="32" max="32" width="12" bestFit="1" customWidth="1"/>
    <col min="33" max="79" width="2.85546875" customWidth="1"/>
  </cols>
  <sheetData>
    <row r="1" spans="1:3" x14ac:dyDescent="0.25">
      <c r="A1" t="s">
        <v>0</v>
      </c>
      <c r="B1" t="s">
        <v>1</v>
      </c>
    </row>
    <row r="2" spans="1:3" x14ac:dyDescent="0.25">
      <c r="A2" t="s">
        <v>35</v>
      </c>
      <c r="B2" t="s">
        <v>34</v>
      </c>
    </row>
    <row r="3" spans="1:3" x14ac:dyDescent="0.25">
      <c r="A3" t="s">
        <v>37</v>
      </c>
      <c r="B3" t="s">
        <v>1</v>
      </c>
    </row>
    <row r="4" spans="1:3" x14ac:dyDescent="0.25">
      <c r="A4" t="s">
        <v>39</v>
      </c>
      <c r="B4" t="s">
        <v>40</v>
      </c>
    </row>
    <row r="5" spans="1:3" x14ac:dyDescent="0.25">
      <c r="A5" t="s">
        <v>76</v>
      </c>
      <c r="B5" t="s">
        <v>79</v>
      </c>
    </row>
    <row r="6" spans="1:3" x14ac:dyDescent="0.25">
      <c r="A6" t="s">
        <v>78</v>
      </c>
      <c r="B6" t="s">
        <v>77</v>
      </c>
    </row>
    <row r="7" spans="1:3" x14ac:dyDescent="0.25">
      <c r="A7" t="s">
        <v>117</v>
      </c>
      <c r="B7" s="568" t="s">
        <v>118</v>
      </c>
      <c r="C7" s="144"/>
    </row>
    <row r="8" spans="1:3" x14ac:dyDescent="0.25">
      <c r="A8" t="s">
        <v>119</v>
      </c>
      <c r="B8" s="568" t="s">
        <v>120</v>
      </c>
      <c r="C8" s="144"/>
    </row>
    <row r="9" spans="1:3" x14ac:dyDescent="0.25">
      <c r="B9" s="144"/>
      <c r="C9" s="144"/>
    </row>
    <row r="10" spans="1:3" x14ac:dyDescent="0.25">
      <c r="B10" s="144"/>
      <c r="C10" s="144"/>
    </row>
    <row r="11" spans="1:3" x14ac:dyDescent="0.25">
      <c r="B11" s="144"/>
      <c r="C11" s="144"/>
    </row>
    <row r="12" spans="1:3" x14ac:dyDescent="0.25">
      <c r="B12" s="144"/>
      <c r="C12" s="144"/>
    </row>
    <row r="13" spans="1:3" x14ac:dyDescent="0.25">
      <c r="B13" s="144"/>
      <c r="C13" s="144"/>
    </row>
    <row r="14" spans="1:3" x14ac:dyDescent="0.25">
      <c r="A14" t="s">
        <v>6</v>
      </c>
      <c r="B14" s="701">
        <f>LEN(B1)</f>
        <v>384</v>
      </c>
      <c r="C14" s="701"/>
    </row>
    <row r="15" spans="1:3" x14ac:dyDescent="0.25">
      <c r="A15" s="145" t="s">
        <v>7</v>
      </c>
      <c r="B15" s="701">
        <f>8*8*3*2</f>
        <v>384</v>
      </c>
      <c r="C15" s="701"/>
    </row>
    <row r="17" spans="1:20" x14ac:dyDescent="0.25">
      <c r="A17" t="s">
        <v>2</v>
      </c>
      <c r="B17" s="1">
        <v>1</v>
      </c>
      <c r="C17" s="1">
        <f>B17+1</f>
        <v>2</v>
      </c>
      <c r="D17" s="1">
        <f t="shared" ref="D17:I17" si="0">C17+1</f>
        <v>3</v>
      </c>
      <c r="E17" s="1">
        <f t="shared" si="0"/>
        <v>4</v>
      </c>
      <c r="F17" s="1">
        <f t="shared" si="0"/>
        <v>5</v>
      </c>
      <c r="G17" s="1">
        <f t="shared" si="0"/>
        <v>6</v>
      </c>
      <c r="H17" s="1">
        <f t="shared" si="0"/>
        <v>7</v>
      </c>
      <c r="I17" s="1">
        <f t="shared" si="0"/>
        <v>8</v>
      </c>
    </row>
    <row r="18" spans="1:20" x14ac:dyDescent="0.25">
      <c r="A18" s="1">
        <v>1</v>
      </c>
      <c r="B18" s="2">
        <v>1</v>
      </c>
      <c r="C18" s="2">
        <f>B18+6</f>
        <v>7</v>
      </c>
      <c r="D18" s="2">
        <f t="shared" ref="D18:I19" si="1">C18+6</f>
        <v>13</v>
      </c>
      <c r="E18" s="2">
        <f t="shared" si="1"/>
        <v>19</v>
      </c>
      <c r="F18" s="2">
        <f t="shared" si="1"/>
        <v>25</v>
      </c>
      <c r="G18" s="2">
        <f t="shared" si="1"/>
        <v>31</v>
      </c>
      <c r="H18" s="2">
        <f t="shared" si="1"/>
        <v>37</v>
      </c>
      <c r="I18" s="2">
        <f t="shared" si="1"/>
        <v>43</v>
      </c>
      <c r="M18" s="700">
        <v>1</v>
      </c>
      <c r="N18" s="700">
        <f t="shared" ref="N18:T25" si="2">M18+1</f>
        <v>2</v>
      </c>
      <c r="O18" s="700">
        <f t="shared" si="2"/>
        <v>3</v>
      </c>
      <c r="P18" s="700">
        <f t="shared" si="2"/>
        <v>4</v>
      </c>
      <c r="Q18" s="700">
        <f t="shared" si="2"/>
        <v>5</v>
      </c>
      <c r="R18" s="700">
        <f t="shared" si="2"/>
        <v>6</v>
      </c>
      <c r="S18" s="700">
        <f t="shared" si="2"/>
        <v>7</v>
      </c>
      <c r="T18" s="700">
        <f t="shared" si="2"/>
        <v>8</v>
      </c>
    </row>
    <row r="19" spans="1:20" x14ac:dyDescent="0.25">
      <c r="A19" s="1">
        <f>A18+1</f>
        <v>2</v>
      </c>
      <c r="B19" s="2">
        <f>I18+6</f>
        <v>49</v>
      </c>
      <c r="C19" s="2">
        <f>B19+6</f>
        <v>55</v>
      </c>
      <c r="D19" s="2">
        <f t="shared" si="1"/>
        <v>61</v>
      </c>
      <c r="E19" s="2">
        <f t="shared" si="1"/>
        <v>67</v>
      </c>
      <c r="F19" s="2">
        <f t="shared" si="1"/>
        <v>73</v>
      </c>
      <c r="G19" s="2">
        <f t="shared" si="1"/>
        <v>79</v>
      </c>
      <c r="H19" s="2">
        <f t="shared" si="1"/>
        <v>85</v>
      </c>
      <c r="I19" s="2">
        <f t="shared" si="1"/>
        <v>91</v>
      </c>
      <c r="M19" s="700">
        <f t="shared" ref="M19:M25" si="3">M18+8</f>
        <v>9</v>
      </c>
      <c r="N19" s="700">
        <f t="shared" si="2"/>
        <v>10</v>
      </c>
      <c r="O19" s="700">
        <f t="shared" si="2"/>
        <v>11</v>
      </c>
      <c r="P19" s="700">
        <f t="shared" si="2"/>
        <v>12</v>
      </c>
      <c r="Q19" s="700">
        <f t="shared" si="2"/>
        <v>13</v>
      </c>
      <c r="R19" s="700">
        <f t="shared" si="2"/>
        <v>14</v>
      </c>
      <c r="S19" s="700">
        <f t="shared" si="2"/>
        <v>15</v>
      </c>
      <c r="T19" s="700">
        <f t="shared" si="2"/>
        <v>16</v>
      </c>
    </row>
    <row r="20" spans="1:20" x14ac:dyDescent="0.25">
      <c r="A20" s="1">
        <f t="shared" ref="A20:A25" si="4">A19+1</f>
        <v>3</v>
      </c>
      <c r="B20" s="2">
        <f t="shared" ref="B20:B25" si="5">I19+6</f>
        <v>97</v>
      </c>
      <c r="C20" s="2">
        <f t="shared" ref="C20:I20" si="6">B20+6</f>
        <v>103</v>
      </c>
      <c r="D20" s="2">
        <f t="shared" si="6"/>
        <v>109</v>
      </c>
      <c r="E20" s="2">
        <f t="shared" si="6"/>
        <v>115</v>
      </c>
      <c r="F20" s="2">
        <f t="shared" si="6"/>
        <v>121</v>
      </c>
      <c r="G20" s="2">
        <f t="shared" si="6"/>
        <v>127</v>
      </c>
      <c r="H20" s="2">
        <f t="shared" si="6"/>
        <v>133</v>
      </c>
      <c r="I20" s="2">
        <f t="shared" si="6"/>
        <v>139</v>
      </c>
      <c r="M20" s="700">
        <f t="shared" si="3"/>
        <v>17</v>
      </c>
      <c r="N20" s="700">
        <f t="shared" si="2"/>
        <v>18</v>
      </c>
      <c r="O20" s="700">
        <f t="shared" si="2"/>
        <v>19</v>
      </c>
      <c r="P20" s="700">
        <f t="shared" si="2"/>
        <v>20</v>
      </c>
      <c r="Q20" s="700">
        <f t="shared" si="2"/>
        <v>21</v>
      </c>
      <c r="R20" s="700">
        <f t="shared" si="2"/>
        <v>22</v>
      </c>
      <c r="S20" s="700">
        <f t="shared" si="2"/>
        <v>23</v>
      </c>
      <c r="T20" s="700">
        <f t="shared" si="2"/>
        <v>24</v>
      </c>
    </row>
    <row r="21" spans="1:20" x14ac:dyDescent="0.25">
      <c r="A21" s="1">
        <f t="shared" si="4"/>
        <v>4</v>
      </c>
      <c r="B21" s="2">
        <f t="shared" si="5"/>
        <v>145</v>
      </c>
      <c r="C21" s="2">
        <f t="shared" ref="C21:I21" si="7">B21+6</f>
        <v>151</v>
      </c>
      <c r="D21" s="2">
        <f t="shared" si="7"/>
        <v>157</v>
      </c>
      <c r="E21" s="2">
        <f t="shared" si="7"/>
        <v>163</v>
      </c>
      <c r="F21" s="2">
        <f t="shared" si="7"/>
        <v>169</v>
      </c>
      <c r="G21" s="2">
        <f t="shared" si="7"/>
        <v>175</v>
      </c>
      <c r="H21" s="2">
        <f t="shared" si="7"/>
        <v>181</v>
      </c>
      <c r="I21" s="2">
        <f t="shared" si="7"/>
        <v>187</v>
      </c>
      <c r="M21" s="700">
        <f t="shared" si="3"/>
        <v>25</v>
      </c>
      <c r="N21" s="700">
        <f t="shared" si="2"/>
        <v>26</v>
      </c>
      <c r="O21" s="700">
        <f t="shared" si="2"/>
        <v>27</v>
      </c>
      <c r="P21" s="700">
        <f t="shared" si="2"/>
        <v>28</v>
      </c>
      <c r="Q21" s="700">
        <f t="shared" si="2"/>
        <v>29</v>
      </c>
      <c r="R21" s="700">
        <f t="shared" si="2"/>
        <v>30</v>
      </c>
      <c r="S21" s="700">
        <f t="shared" si="2"/>
        <v>31</v>
      </c>
      <c r="T21" s="700">
        <f t="shared" si="2"/>
        <v>32</v>
      </c>
    </row>
    <row r="22" spans="1:20" x14ac:dyDescent="0.25">
      <c r="A22" s="1">
        <f t="shared" si="4"/>
        <v>5</v>
      </c>
      <c r="B22" s="2">
        <f t="shared" si="5"/>
        <v>193</v>
      </c>
      <c r="C22" s="2">
        <f t="shared" ref="C22:I22" si="8">B22+6</f>
        <v>199</v>
      </c>
      <c r="D22" s="2">
        <f t="shared" si="8"/>
        <v>205</v>
      </c>
      <c r="E22" s="2">
        <f t="shared" si="8"/>
        <v>211</v>
      </c>
      <c r="F22" s="2">
        <f t="shared" si="8"/>
        <v>217</v>
      </c>
      <c r="G22" s="2">
        <f t="shared" si="8"/>
        <v>223</v>
      </c>
      <c r="H22" s="2">
        <f t="shared" si="8"/>
        <v>229</v>
      </c>
      <c r="I22" s="2">
        <f t="shared" si="8"/>
        <v>235</v>
      </c>
      <c r="M22" s="700">
        <f t="shared" si="3"/>
        <v>33</v>
      </c>
      <c r="N22" s="700">
        <f t="shared" si="2"/>
        <v>34</v>
      </c>
      <c r="O22" s="700">
        <f t="shared" si="2"/>
        <v>35</v>
      </c>
      <c r="P22" s="700">
        <f t="shared" si="2"/>
        <v>36</v>
      </c>
      <c r="Q22" s="700">
        <f t="shared" si="2"/>
        <v>37</v>
      </c>
      <c r="R22" s="700">
        <f t="shared" si="2"/>
        <v>38</v>
      </c>
      <c r="S22" s="700">
        <f t="shared" si="2"/>
        <v>39</v>
      </c>
      <c r="T22" s="700">
        <f t="shared" si="2"/>
        <v>40</v>
      </c>
    </row>
    <row r="23" spans="1:20" x14ac:dyDescent="0.25">
      <c r="A23" s="1">
        <f t="shared" si="4"/>
        <v>6</v>
      </c>
      <c r="B23" s="2">
        <f t="shared" si="5"/>
        <v>241</v>
      </c>
      <c r="C23" s="2">
        <f t="shared" ref="C23:I23" si="9">B23+6</f>
        <v>247</v>
      </c>
      <c r="D23" s="2">
        <f t="shared" si="9"/>
        <v>253</v>
      </c>
      <c r="E23" s="2">
        <f t="shared" si="9"/>
        <v>259</v>
      </c>
      <c r="F23" s="2">
        <f t="shared" si="9"/>
        <v>265</v>
      </c>
      <c r="G23" s="2">
        <f t="shared" si="9"/>
        <v>271</v>
      </c>
      <c r="H23" s="2">
        <f t="shared" si="9"/>
        <v>277</v>
      </c>
      <c r="I23" s="2">
        <f t="shared" si="9"/>
        <v>283</v>
      </c>
      <c r="M23" s="700">
        <f t="shared" si="3"/>
        <v>41</v>
      </c>
      <c r="N23" s="700">
        <f t="shared" si="2"/>
        <v>42</v>
      </c>
      <c r="O23" s="700">
        <f t="shared" si="2"/>
        <v>43</v>
      </c>
      <c r="P23" s="700">
        <f t="shared" si="2"/>
        <v>44</v>
      </c>
      <c r="Q23" s="700">
        <f t="shared" si="2"/>
        <v>45</v>
      </c>
      <c r="R23" s="700">
        <f t="shared" si="2"/>
        <v>46</v>
      </c>
      <c r="S23" s="700">
        <f t="shared" si="2"/>
        <v>47</v>
      </c>
      <c r="T23" s="700">
        <f t="shared" si="2"/>
        <v>48</v>
      </c>
    </row>
    <row r="24" spans="1:20" x14ac:dyDescent="0.25">
      <c r="A24" s="1">
        <f t="shared" si="4"/>
        <v>7</v>
      </c>
      <c r="B24" s="2">
        <f t="shared" si="5"/>
        <v>289</v>
      </c>
      <c r="C24" s="2">
        <f t="shared" ref="C24:I24" si="10">B24+6</f>
        <v>295</v>
      </c>
      <c r="D24" s="2">
        <f t="shared" si="10"/>
        <v>301</v>
      </c>
      <c r="E24" s="2">
        <f t="shared" si="10"/>
        <v>307</v>
      </c>
      <c r="F24" s="2">
        <f t="shared" si="10"/>
        <v>313</v>
      </c>
      <c r="G24" s="2">
        <f t="shared" si="10"/>
        <v>319</v>
      </c>
      <c r="H24" s="2">
        <f t="shared" si="10"/>
        <v>325</v>
      </c>
      <c r="I24" s="2">
        <f t="shared" si="10"/>
        <v>331</v>
      </c>
      <c r="M24" s="700">
        <f t="shared" si="3"/>
        <v>49</v>
      </c>
      <c r="N24" s="700">
        <f t="shared" si="2"/>
        <v>50</v>
      </c>
      <c r="O24" s="700">
        <f t="shared" si="2"/>
        <v>51</v>
      </c>
      <c r="P24" s="700">
        <f t="shared" si="2"/>
        <v>52</v>
      </c>
      <c r="Q24" s="700">
        <f t="shared" si="2"/>
        <v>53</v>
      </c>
      <c r="R24" s="700">
        <f t="shared" si="2"/>
        <v>54</v>
      </c>
      <c r="S24" s="700">
        <f t="shared" si="2"/>
        <v>55</v>
      </c>
      <c r="T24" s="700">
        <f t="shared" si="2"/>
        <v>56</v>
      </c>
    </row>
    <row r="25" spans="1:20" x14ac:dyDescent="0.25">
      <c r="A25" s="1">
        <f t="shared" si="4"/>
        <v>8</v>
      </c>
      <c r="B25" s="2">
        <f t="shared" si="5"/>
        <v>337</v>
      </c>
      <c r="C25" s="2">
        <f t="shared" ref="C25:I25" si="11">B25+6</f>
        <v>343</v>
      </c>
      <c r="D25" s="2">
        <f t="shared" si="11"/>
        <v>349</v>
      </c>
      <c r="E25" s="2">
        <f t="shared" si="11"/>
        <v>355</v>
      </c>
      <c r="F25" s="2">
        <f t="shared" si="11"/>
        <v>361</v>
      </c>
      <c r="G25" s="2">
        <f t="shared" si="11"/>
        <v>367</v>
      </c>
      <c r="H25" s="2">
        <f t="shared" si="11"/>
        <v>373</v>
      </c>
      <c r="I25" s="2">
        <f t="shared" si="11"/>
        <v>379</v>
      </c>
      <c r="M25" s="700">
        <f t="shared" si="3"/>
        <v>57</v>
      </c>
      <c r="N25" s="700">
        <f t="shared" si="2"/>
        <v>58</v>
      </c>
      <c r="O25" s="700">
        <f t="shared" si="2"/>
        <v>59</v>
      </c>
      <c r="P25" s="700">
        <f t="shared" si="2"/>
        <v>60</v>
      </c>
      <c r="Q25" s="700">
        <f t="shared" si="2"/>
        <v>61</v>
      </c>
      <c r="R25" s="700">
        <f t="shared" si="2"/>
        <v>62</v>
      </c>
      <c r="S25" s="700">
        <f t="shared" si="2"/>
        <v>63</v>
      </c>
      <c r="T25" s="700">
        <f t="shared" si="2"/>
        <v>64</v>
      </c>
    </row>
    <row r="27" spans="1:20" x14ac:dyDescent="0.25">
      <c r="A27" t="s">
        <v>3</v>
      </c>
      <c r="B27" s="1">
        <v>1</v>
      </c>
      <c r="C27" s="1">
        <f>B27+1</f>
        <v>2</v>
      </c>
      <c r="D27" s="1">
        <f t="shared" ref="D27:I27" si="12">C27+1</f>
        <v>3</v>
      </c>
      <c r="E27" s="1">
        <f t="shared" si="12"/>
        <v>4</v>
      </c>
      <c r="F27" s="1">
        <f t="shared" si="12"/>
        <v>5</v>
      </c>
      <c r="G27" s="1">
        <f t="shared" si="12"/>
        <v>6</v>
      </c>
      <c r="H27" s="1">
        <f t="shared" si="12"/>
        <v>7</v>
      </c>
      <c r="I27" s="1">
        <f t="shared" si="12"/>
        <v>8</v>
      </c>
    </row>
    <row r="28" spans="1:20" x14ac:dyDescent="0.25">
      <c r="A28" s="1">
        <v>1</v>
      </c>
      <c r="B28" s="2">
        <f>B18+2</f>
        <v>3</v>
      </c>
      <c r="C28" s="2">
        <f>B28+6</f>
        <v>9</v>
      </c>
      <c r="D28" s="2">
        <f t="shared" ref="D28:I28" si="13">C28+6</f>
        <v>15</v>
      </c>
      <c r="E28" s="2">
        <f t="shared" si="13"/>
        <v>21</v>
      </c>
      <c r="F28" s="2">
        <f t="shared" si="13"/>
        <v>27</v>
      </c>
      <c r="G28" s="2">
        <f t="shared" si="13"/>
        <v>33</v>
      </c>
      <c r="H28" s="2">
        <f t="shared" si="13"/>
        <v>39</v>
      </c>
      <c r="I28" s="2">
        <f t="shared" si="13"/>
        <v>45</v>
      </c>
    </row>
    <row r="29" spans="1:20" x14ac:dyDescent="0.25">
      <c r="A29" s="1">
        <f>A28+1</f>
        <v>2</v>
      </c>
      <c r="B29" s="2">
        <f>I28+6</f>
        <v>51</v>
      </c>
      <c r="C29" s="2">
        <f>B29+6</f>
        <v>57</v>
      </c>
      <c r="D29" s="2">
        <f t="shared" ref="D29:I29" si="14">C29+6</f>
        <v>63</v>
      </c>
      <c r="E29" s="2">
        <f t="shared" si="14"/>
        <v>69</v>
      </c>
      <c r="F29" s="2">
        <f t="shared" si="14"/>
        <v>75</v>
      </c>
      <c r="G29" s="2">
        <f t="shared" si="14"/>
        <v>81</v>
      </c>
      <c r="H29" s="2">
        <f t="shared" si="14"/>
        <v>87</v>
      </c>
      <c r="I29" s="2">
        <f t="shared" si="14"/>
        <v>93</v>
      </c>
    </row>
    <row r="30" spans="1:20" x14ac:dyDescent="0.25">
      <c r="A30" s="1">
        <f t="shared" ref="A30:A35" si="15">A29+1</f>
        <v>3</v>
      </c>
      <c r="B30" s="2">
        <f t="shared" ref="B30:B35" si="16">I29+6</f>
        <v>99</v>
      </c>
      <c r="C30" s="2">
        <f t="shared" ref="C30:I30" si="17">B30+6</f>
        <v>105</v>
      </c>
      <c r="D30" s="2">
        <f t="shared" si="17"/>
        <v>111</v>
      </c>
      <c r="E30" s="2">
        <f t="shared" si="17"/>
        <v>117</v>
      </c>
      <c r="F30" s="2">
        <f t="shared" si="17"/>
        <v>123</v>
      </c>
      <c r="G30" s="2">
        <f t="shared" si="17"/>
        <v>129</v>
      </c>
      <c r="H30" s="2">
        <f t="shared" si="17"/>
        <v>135</v>
      </c>
      <c r="I30" s="2">
        <f t="shared" si="17"/>
        <v>141</v>
      </c>
    </row>
    <row r="31" spans="1:20" x14ac:dyDescent="0.25">
      <c r="A31" s="1">
        <f t="shared" si="15"/>
        <v>4</v>
      </c>
      <c r="B31" s="2">
        <f t="shared" si="16"/>
        <v>147</v>
      </c>
      <c r="C31" s="2">
        <f t="shared" ref="C31:I31" si="18">B31+6</f>
        <v>153</v>
      </c>
      <c r="D31" s="2">
        <f t="shared" si="18"/>
        <v>159</v>
      </c>
      <c r="E31" s="2">
        <f t="shared" si="18"/>
        <v>165</v>
      </c>
      <c r="F31" s="2">
        <f t="shared" si="18"/>
        <v>171</v>
      </c>
      <c r="G31" s="2">
        <f t="shared" si="18"/>
        <v>177</v>
      </c>
      <c r="H31" s="2">
        <f t="shared" si="18"/>
        <v>183</v>
      </c>
      <c r="I31" s="2">
        <f t="shared" si="18"/>
        <v>189</v>
      </c>
    </row>
    <row r="32" spans="1:20" x14ac:dyDescent="0.25">
      <c r="A32" s="1">
        <f t="shared" si="15"/>
        <v>5</v>
      </c>
      <c r="B32" s="2">
        <f t="shared" si="16"/>
        <v>195</v>
      </c>
      <c r="C32" s="2">
        <f t="shared" ref="C32:I32" si="19">B32+6</f>
        <v>201</v>
      </c>
      <c r="D32" s="2">
        <f t="shared" si="19"/>
        <v>207</v>
      </c>
      <c r="E32" s="2">
        <f t="shared" si="19"/>
        <v>213</v>
      </c>
      <c r="F32" s="2">
        <f t="shared" si="19"/>
        <v>219</v>
      </c>
      <c r="G32" s="2">
        <f t="shared" si="19"/>
        <v>225</v>
      </c>
      <c r="H32" s="2">
        <f t="shared" si="19"/>
        <v>231</v>
      </c>
      <c r="I32" s="2">
        <f t="shared" si="19"/>
        <v>237</v>
      </c>
    </row>
    <row r="33" spans="1:20" x14ac:dyDescent="0.25">
      <c r="A33" s="1">
        <f t="shared" si="15"/>
        <v>6</v>
      </c>
      <c r="B33" s="2">
        <f t="shared" si="16"/>
        <v>243</v>
      </c>
      <c r="C33" s="2">
        <f t="shared" ref="C33:I33" si="20">B33+6</f>
        <v>249</v>
      </c>
      <c r="D33" s="2">
        <f t="shared" si="20"/>
        <v>255</v>
      </c>
      <c r="E33" s="2">
        <f t="shared" si="20"/>
        <v>261</v>
      </c>
      <c r="F33" s="2">
        <f t="shared" si="20"/>
        <v>267</v>
      </c>
      <c r="G33" s="2">
        <f t="shared" si="20"/>
        <v>273</v>
      </c>
      <c r="H33" s="2">
        <f t="shared" si="20"/>
        <v>279</v>
      </c>
      <c r="I33" s="2">
        <f t="shared" si="20"/>
        <v>285</v>
      </c>
    </row>
    <row r="34" spans="1:20" x14ac:dyDescent="0.25">
      <c r="A34" s="1">
        <f t="shared" si="15"/>
        <v>7</v>
      </c>
      <c r="B34" s="2">
        <f t="shared" si="16"/>
        <v>291</v>
      </c>
      <c r="C34" s="2">
        <f t="shared" ref="C34:I34" si="21">B34+6</f>
        <v>297</v>
      </c>
      <c r="D34" s="2">
        <f t="shared" si="21"/>
        <v>303</v>
      </c>
      <c r="E34" s="2">
        <f t="shared" si="21"/>
        <v>309</v>
      </c>
      <c r="F34" s="2">
        <f t="shared" si="21"/>
        <v>315</v>
      </c>
      <c r="G34" s="2">
        <f t="shared" si="21"/>
        <v>321</v>
      </c>
      <c r="H34" s="2">
        <f t="shared" si="21"/>
        <v>327</v>
      </c>
      <c r="I34" s="2">
        <f t="shared" si="21"/>
        <v>333</v>
      </c>
    </row>
    <row r="35" spans="1:20" x14ac:dyDescent="0.25">
      <c r="A35" s="1">
        <f t="shared" si="15"/>
        <v>8</v>
      </c>
      <c r="B35" s="2">
        <f t="shared" si="16"/>
        <v>339</v>
      </c>
      <c r="C35" s="2">
        <f t="shared" ref="C35:I35" si="22">B35+6</f>
        <v>345</v>
      </c>
      <c r="D35" s="2">
        <f t="shared" si="22"/>
        <v>351</v>
      </c>
      <c r="E35" s="2">
        <f t="shared" si="22"/>
        <v>357</v>
      </c>
      <c r="F35" s="2">
        <f t="shared" si="22"/>
        <v>363</v>
      </c>
      <c r="G35" s="2">
        <f t="shared" si="22"/>
        <v>369</v>
      </c>
      <c r="H35" s="2">
        <f t="shared" si="22"/>
        <v>375</v>
      </c>
      <c r="I35" s="2">
        <f t="shared" si="22"/>
        <v>381</v>
      </c>
    </row>
    <row r="37" spans="1:20" x14ac:dyDescent="0.25">
      <c r="A37" t="s">
        <v>4</v>
      </c>
      <c r="B37" s="1">
        <v>1</v>
      </c>
      <c r="C37" s="1">
        <f>B37+1</f>
        <v>2</v>
      </c>
      <c r="D37" s="1">
        <f t="shared" ref="D37:I37" si="23">C37+1</f>
        <v>3</v>
      </c>
      <c r="E37" s="1">
        <f t="shared" si="23"/>
        <v>4</v>
      </c>
      <c r="F37" s="1">
        <f t="shared" si="23"/>
        <v>5</v>
      </c>
      <c r="G37" s="1">
        <f t="shared" si="23"/>
        <v>6</v>
      </c>
      <c r="H37" s="1">
        <f t="shared" si="23"/>
        <v>7</v>
      </c>
      <c r="I37" s="1">
        <f t="shared" si="23"/>
        <v>8</v>
      </c>
    </row>
    <row r="38" spans="1:20" x14ac:dyDescent="0.25">
      <c r="A38" s="1">
        <v>1</v>
      </c>
      <c r="B38" s="2">
        <f>B28+2</f>
        <v>5</v>
      </c>
      <c r="C38" s="2">
        <f>B38+6</f>
        <v>11</v>
      </c>
      <c r="D38" s="2">
        <f t="shared" ref="D38:I38" si="24">C38+6</f>
        <v>17</v>
      </c>
      <c r="E38" s="2">
        <f t="shared" si="24"/>
        <v>23</v>
      </c>
      <c r="F38" s="2">
        <f t="shared" si="24"/>
        <v>29</v>
      </c>
      <c r="G38" s="2">
        <f t="shared" si="24"/>
        <v>35</v>
      </c>
      <c r="H38" s="2">
        <f t="shared" si="24"/>
        <v>41</v>
      </c>
      <c r="I38" s="2">
        <f t="shared" si="24"/>
        <v>47</v>
      </c>
    </row>
    <row r="39" spans="1:20" x14ac:dyDescent="0.25">
      <c r="A39" s="1">
        <f>A38+1</f>
        <v>2</v>
      </c>
      <c r="B39" s="2">
        <f>I38+6</f>
        <v>53</v>
      </c>
      <c r="C39" s="2">
        <f>B39+6</f>
        <v>59</v>
      </c>
      <c r="D39" s="2">
        <f t="shared" ref="D39:I39" si="25">C39+6</f>
        <v>65</v>
      </c>
      <c r="E39" s="2">
        <f t="shared" si="25"/>
        <v>71</v>
      </c>
      <c r="F39" s="2">
        <f t="shared" si="25"/>
        <v>77</v>
      </c>
      <c r="G39" s="2">
        <f t="shared" si="25"/>
        <v>83</v>
      </c>
      <c r="H39" s="2">
        <f t="shared" si="25"/>
        <v>89</v>
      </c>
      <c r="I39" s="2">
        <f t="shared" si="25"/>
        <v>95</v>
      </c>
    </row>
    <row r="40" spans="1:20" x14ac:dyDescent="0.25">
      <c r="A40" s="1">
        <f t="shared" ref="A40:A45" si="26">A39+1</f>
        <v>3</v>
      </c>
      <c r="B40" s="2">
        <f t="shared" ref="B40:B45" si="27">I39+6</f>
        <v>101</v>
      </c>
      <c r="C40" s="2">
        <f t="shared" ref="C40:I40" si="28">B40+6</f>
        <v>107</v>
      </c>
      <c r="D40" s="2">
        <f t="shared" si="28"/>
        <v>113</v>
      </c>
      <c r="E40" s="2">
        <f t="shared" si="28"/>
        <v>119</v>
      </c>
      <c r="F40" s="2">
        <f t="shared" si="28"/>
        <v>125</v>
      </c>
      <c r="G40" s="2">
        <f t="shared" si="28"/>
        <v>131</v>
      </c>
      <c r="H40" s="2">
        <f t="shared" si="28"/>
        <v>137</v>
      </c>
      <c r="I40" s="2">
        <f t="shared" si="28"/>
        <v>143</v>
      </c>
    </row>
    <row r="41" spans="1:20" x14ac:dyDescent="0.25">
      <c r="A41" s="1">
        <f t="shared" si="26"/>
        <v>4</v>
      </c>
      <c r="B41" s="2">
        <f t="shared" si="27"/>
        <v>149</v>
      </c>
      <c r="C41" s="2">
        <f t="shared" ref="C41:I41" si="29">B41+6</f>
        <v>155</v>
      </c>
      <c r="D41" s="2">
        <f t="shared" si="29"/>
        <v>161</v>
      </c>
      <c r="E41" s="2">
        <f t="shared" si="29"/>
        <v>167</v>
      </c>
      <c r="F41" s="2">
        <f t="shared" si="29"/>
        <v>173</v>
      </c>
      <c r="G41" s="2">
        <f t="shared" si="29"/>
        <v>179</v>
      </c>
      <c r="H41" s="2">
        <f t="shared" si="29"/>
        <v>185</v>
      </c>
      <c r="I41" s="2">
        <f t="shared" si="29"/>
        <v>191</v>
      </c>
    </row>
    <row r="42" spans="1:20" x14ac:dyDescent="0.25">
      <c r="A42" s="1">
        <f t="shared" si="26"/>
        <v>5</v>
      </c>
      <c r="B42" s="2">
        <f t="shared" si="27"/>
        <v>197</v>
      </c>
      <c r="C42" s="2">
        <f t="shared" ref="C42:I42" si="30">B42+6</f>
        <v>203</v>
      </c>
      <c r="D42" s="2">
        <f t="shared" si="30"/>
        <v>209</v>
      </c>
      <c r="E42" s="2">
        <f t="shared" si="30"/>
        <v>215</v>
      </c>
      <c r="F42" s="2">
        <f t="shared" si="30"/>
        <v>221</v>
      </c>
      <c r="G42" s="2">
        <f t="shared" si="30"/>
        <v>227</v>
      </c>
      <c r="H42" s="2">
        <f t="shared" si="30"/>
        <v>233</v>
      </c>
      <c r="I42" s="2">
        <f t="shared" si="30"/>
        <v>239</v>
      </c>
    </row>
    <row r="43" spans="1:20" x14ac:dyDescent="0.25">
      <c r="A43" s="1">
        <f t="shared" si="26"/>
        <v>6</v>
      </c>
      <c r="B43" s="2">
        <f t="shared" si="27"/>
        <v>245</v>
      </c>
      <c r="C43" s="2">
        <f t="shared" ref="C43:I43" si="31">B43+6</f>
        <v>251</v>
      </c>
      <c r="D43" s="2">
        <f t="shared" si="31"/>
        <v>257</v>
      </c>
      <c r="E43" s="2">
        <f t="shared" si="31"/>
        <v>263</v>
      </c>
      <c r="F43" s="2">
        <f t="shared" si="31"/>
        <v>269</v>
      </c>
      <c r="G43" s="2">
        <f t="shared" si="31"/>
        <v>275</v>
      </c>
      <c r="H43" s="2">
        <f t="shared" si="31"/>
        <v>281</v>
      </c>
      <c r="I43" s="2">
        <f t="shared" si="31"/>
        <v>287</v>
      </c>
    </row>
    <row r="44" spans="1:20" x14ac:dyDescent="0.25">
      <c r="A44" s="1">
        <f t="shared" si="26"/>
        <v>7</v>
      </c>
      <c r="B44" s="2">
        <f t="shared" si="27"/>
        <v>293</v>
      </c>
      <c r="C44" s="2">
        <f t="shared" ref="C44:I44" si="32">B44+6</f>
        <v>299</v>
      </c>
      <c r="D44" s="2">
        <f t="shared" si="32"/>
        <v>305</v>
      </c>
      <c r="E44" s="2">
        <f t="shared" si="32"/>
        <v>311</v>
      </c>
      <c r="F44" s="2">
        <f t="shared" si="32"/>
        <v>317</v>
      </c>
      <c r="G44" s="2">
        <f t="shared" si="32"/>
        <v>323</v>
      </c>
      <c r="H44" s="2">
        <f t="shared" si="32"/>
        <v>329</v>
      </c>
      <c r="I44" s="2">
        <f t="shared" si="32"/>
        <v>335</v>
      </c>
    </row>
    <row r="45" spans="1:20" x14ac:dyDescent="0.25">
      <c r="A45" s="1">
        <f t="shared" si="26"/>
        <v>8</v>
      </c>
      <c r="B45" s="2">
        <f t="shared" si="27"/>
        <v>341</v>
      </c>
      <c r="C45" s="2">
        <f t="shared" ref="C45:I45" si="33">B45+6</f>
        <v>347</v>
      </c>
      <c r="D45" s="2">
        <f t="shared" si="33"/>
        <v>353</v>
      </c>
      <c r="E45" s="2">
        <f t="shared" si="33"/>
        <v>359</v>
      </c>
      <c r="F45" s="2">
        <f t="shared" si="33"/>
        <v>365</v>
      </c>
      <c r="G45" s="2">
        <f t="shared" si="33"/>
        <v>371</v>
      </c>
      <c r="H45" s="2">
        <f t="shared" si="33"/>
        <v>377</v>
      </c>
      <c r="I45" s="2">
        <f t="shared" si="33"/>
        <v>383</v>
      </c>
    </row>
    <row r="46" spans="1:20" x14ac:dyDescent="0.25">
      <c r="A46" s="2"/>
      <c r="B46" s="2"/>
      <c r="C46" s="2"/>
      <c r="D46" s="2"/>
      <c r="E46" s="2"/>
      <c r="F46" s="2"/>
      <c r="G46" s="2"/>
      <c r="H46" s="2"/>
      <c r="I46" s="2"/>
      <c r="M46" t="s">
        <v>121</v>
      </c>
    </row>
    <row r="47" spans="1:20" x14ac:dyDescent="0.25">
      <c r="A47" s="2"/>
      <c r="B47" s="2"/>
      <c r="C47" s="2"/>
      <c r="D47" s="2"/>
      <c r="E47" s="2"/>
      <c r="F47" s="2"/>
      <c r="G47" s="2"/>
      <c r="H47" s="2"/>
      <c r="I47" s="2"/>
    </row>
    <row r="48" spans="1:20" x14ac:dyDescent="0.25">
      <c r="A48" s="2"/>
      <c r="B48" s="2"/>
      <c r="C48" s="2"/>
      <c r="D48" s="2"/>
      <c r="E48" s="2"/>
      <c r="F48" s="2"/>
      <c r="G48" s="2"/>
      <c r="H48" s="2"/>
      <c r="I48" s="2"/>
      <c r="M48" s="435"/>
      <c r="N48" s="436"/>
      <c r="O48" s="437"/>
      <c r="P48" s="438"/>
      <c r="Q48" s="439"/>
      <c r="R48" s="440"/>
      <c r="S48" s="441"/>
      <c r="T48" s="442"/>
    </row>
    <row r="49" spans="1:32" x14ac:dyDescent="0.25">
      <c r="A49" s="2"/>
      <c r="B49" s="2"/>
      <c r="C49" s="2"/>
      <c r="D49" s="2"/>
      <c r="E49" s="2"/>
      <c r="F49" s="2"/>
      <c r="G49" s="2"/>
      <c r="H49" s="2"/>
      <c r="I49" s="2"/>
      <c r="M49" s="443"/>
      <c r="N49" s="444"/>
      <c r="O49" s="445"/>
      <c r="P49" s="446"/>
      <c r="Q49" s="447"/>
      <c r="R49" s="448"/>
      <c r="S49" s="449"/>
      <c r="T49" s="450"/>
    </row>
    <row r="50" spans="1:32" x14ac:dyDescent="0.25">
      <c r="A50" s="2"/>
      <c r="B50" s="2"/>
      <c r="C50" s="2"/>
      <c r="D50" s="2"/>
      <c r="E50" s="2"/>
      <c r="F50" s="2"/>
      <c r="G50" s="2"/>
      <c r="H50" s="2"/>
      <c r="I50" s="2"/>
      <c r="M50" s="451"/>
      <c r="N50" s="452"/>
      <c r="O50" s="453"/>
      <c r="P50" s="454"/>
      <c r="Q50" s="455"/>
      <c r="R50" s="456"/>
      <c r="S50" s="457"/>
      <c r="T50" s="458"/>
    </row>
    <row r="51" spans="1:32" x14ac:dyDescent="0.25">
      <c r="A51" s="2"/>
      <c r="B51" s="2"/>
      <c r="C51" s="2"/>
      <c r="D51" s="2"/>
      <c r="E51" s="2"/>
      <c r="F51" s="2"/>
      <c r="G51" s="2"/>
      <c r="H51" s="2"/>
      <c r="I51" s="2"/>
      <c r="M51" s="459"/>
      <c r="N51" s="460"/>
      <c r="O51" s="461"/>
      <c r="P51" s="462"/>
      <c r="Q51" s="463"/>
      <c r="R51" s="464"/>
      <c r="S51" s="465"/>
      <c r="T51" s="466"/>
    </row>
    <row r="52" spans="1:32" x14ac:dyDescent="0.25">
      <c r="A52" s="2"/>
      <c r="B52" s="2"/>
      <c r="C52" s="2"/>
      <c r="D52" s="2"/>
      <c r="E52" s="2"/>
      <c r="F52" s="2"/>
      <c r="G52" s="2"/>
      <c r="H52" s="2"/>
      <c r="I52" s="2"/>
      <c r="M52" s="467"/>
      <c r="N52" s="468"/>
      <c r="O52" s="469"/>
      <c r="P52" s="470"/>
      <c r="Q52" s="471"/>
      <c r="R52" s="472"/>
      <c r="S52" s="473"/>
      <c r="T52" s="474"/>
    </row>
    <row r="53" spans="1:32" x14ac:dyDescent="0.25">
      <c r="A53" s="2"/>
      <c r="B53" s="2"/>
      <c r="C53" s="2"/>
      <c r="D53" s="2"/>
      <c r="E53" s="2"/>
      <c r="F53" s="2"/>
      <c r="G53" s="2"/>
      <c r="H53" s="2"/>
      <c r="I53" s="2"/>
      <c r="M53" s="475"/>
      <c r="N53" s="476"/>
      <c r="O53" s="477"/>
      <c r="P53" s="478"/>
      <c r="Q53" s="479"/>
      <c r="R53" s="480"/>
      <c r="S53" s="481"/>
      <c r="T53" s="482"/>
    </row>
    <row r="54" spans="1:32" x14ac:dyDescent="0.25">
      <c r="A54" s="2"/>
      <c r="B54" s="2"/>
      <c r="C54" s="2"/>
      <c r="D54" s="2"/>
      <c r="E54" s="2"/>
      <c r="F54" s="2"/>
      <c r="G54" s="2"/>
      <c r="H54" s="2"/>
      <c r="I54" s="2"/>
      <c r="M54" s="483"/>
      <c r="N54" s="484"/>
      <c r="O54" s="485"/>
      <c r="P54" s="486"/>
      <c r="Q54" s="487"/>
      <c r="R54" s="488"/>
      <c r="S54" s="489"/>
      <c r="T54" s="490"/>
    </row>
    <row r="55" spans="1:32" x14ac:dyDescent="0.25">
      <c r="A55" s="2"/>
      <c r="B55" s="2"/>
      <c r="C55" s="2"/>
      <c r="D55" s="2"/>
      <c r="E55" s="2"/>
      <c r="F55" s="2"/>
      <c r="G55" s="2"/>
      <c r="H55" s="2"/>
      <c r="I55" s="2"/>
      <c r="M55" s="491"/>
      <c r="N55" s="492"/>
      <c r="O55" s="493"/>
      <c r="P55" s="494"/>
      <c r="Q55" s="495"/>
      <c r="R55" s="496"/>
      <c r="S55" s="497"/>
      <c r="T55" s="498"/>
    </row>
    <row r="56" spans="1:32" x14ac:dyDescent="0.25">
      <c r="A56" s="2"/>
      <c r="B56" s="2"/>
      <c r="C56" s="2"/>
      <c r="D56" s="2"/>
      <c r="E56" s="2"/>
      <c r="F56" s="2"/>
      <c r="G56" s="2"/>
      <c r="H56" s="2"/>
      <c r="I56" s="2"/>
    </row>
    <row r="57" spans="1:32" x14ac:dyDescent="0.25">
      <c r="A57" t="s">
        <v>2</v>
      </c>
      <c r="B57" s="1">
        <v>1</v>
      </c>
      <c r="C57" s="1">
        <f>B57+1</f>
        <v>2</v>
      </c>
      <c r="D57" s="1">
        <f t="shared" ref="D57:I57" si="34">C57+1</f>
        <v>3</v>
      </c>
      <c r="E57" s="1">
        <f t="shared" si="34"/>
        <v>4</v>
      </c>
      <c r="F57" s="1">
        <f t="shared" si="34"/>
        <v>5</v>
      </c>
      <c r="G57" s="1">
        <f t="shared" si="34"/>
        <v>6</v>
      </c>
      <c r="H57" s="1">
        <f t="shared" si="34"/>
        <v>7</v>
      </c>
      <c r="I57" s="1">
        <f t="shared" si="34"/>
        <v>8</v>
      </c>
      <c r="AF57">
        <f>SUM(W58:AD65)</f>
        <v>25</v>
      </c>
    </row>
    <row r="58" spans="1:32" x14ac:dyDescent="0.25">
      <c r="A58" s="1">
        <v>1</v>
      </c>
      <c r="B58" s="2">
        <f t="shared" ref="B58:I65" si="35">HEX2DEC(MID($B$1,B18,2))</f>
        <v>161</v>
      </c>
      <c r="C58" s="2">
        <f t="shared" si="35"/>
        <v>167</v>
      </c>
      <c r="D58" s="2">
        <f t="shared" si="35"/>
        <v>164</v>
      </c>
      <c r="E58" s="2">
        <f t="shared" si="35"/>
        <v>163</v>
      </c>
      <c r="F58" s="2">
        <f t="shared" si="35"/>
        <v>141</v>
      </c>
      <c r="G58" s="2">
        <f t="shared" si="35"/>
        <v>146</v>
      </c>
      <c r="H58" s="2">
        <f t="shared" si="35"/>
        <v>153</v>
      </c>
      <c r="I58" s="2">
        <f t="shared" si="35"/>
        <v>139</v>
      </c>
      <c r="M58" s="221"/>
      <c r="N58" s="105"/>
      <c r="O58" s="86"/>
      <c r="P58" s="146"/>
      <c r="Q58" s="228"/>
      <c r="R58" s="335"/>
      <c r="S58" s="75"/>
      <c r="T58" s="228"/>
      <c r="W58">
        <f>IF(C58&gt;B58,1,0)</f>
        <v>1</v>
      </c>
      <c r="X58">
        <f t="shared" ref="X58:X65" si="36">IF(D58&gt;C58,1,0)</f>
        <v>0</v>
      </c>
      <c r="Y58">
        <f t="shared" ref="Y58:Y65" si="37">IF(E58&gt;D58,1,0)</f>
        <v>0</v>
      </c>
      <c r="Z58">
        <f t="shared" ref="Z58:Z65" si="38">IF(F58&gt;E58,1,0)</f>
        <v>0</v>
      </c>
      <c r="AA58">
        <f t="shared" ref="AA58:AA65" si="39">IF(G58&gt;F58,1,0)</f>
        <v>1</v>
      </c>
      <c r="AB58">
        <f t="shared" ref="AB58:AB65" si="40">IF(H58&gt;G58,1,0)</f>
        <v>1</v>
      </c>
      <c r="AC58">
        <f t="shared" ref="AC58:AC65" si="41">IF(I58&gt;H58,1,0)</f>
        <v>0</v>
      </c>
      <c r="AD58">
        <f>IF(B59&gt;I58,1,0)</f>
        <v>0</v>
      </c>
      <c r="AF58" t="str">
        <f>TEXT(BIN2HEX(_xlfn.CONCAT(W58,X58,Y58,Z58,AA58,AB58,AC58,AD58)),"00")</f>
        <v>8C</v>
      </c>
    </row>
    <row r="59" spans="1:32" x14ac:dyDescent="0.25">
      <c r="A59" s="1">
        <f>A58+1</f>
        <v>2</v>
      </c>
      <c r="B59" s="2">
        <f t="shared" si="35"/>
        <v>138</v>
      </c>
      <c r="C59" s="2">
        <f t="shared" si="35"/>
        <v>142</v>
      </c>
      <c r="D59" s="2">
        <f t="shared" si="35"/>
        <v>142</v>
      </c>
      <c r="E59" s="2">
        <f t="shared" si="35"/>
        <v>161</v>
      </c>
      <c r="F59" s="2">
        <f t="shared" si="35"/>
        <v>140</v>
      </c>
      <c r="G59" s="2">
        <f t="shared" si="35"/>
        <v>141</v>
      </c>
      <c r="H59" s="2">
        <f t="shared" si="35"/>
        <v>132</v>
      </c>
      <c r="I59" s="2">
        <f t="shared" si="35"/>
        <v>104</v>
      </c>
      <c r="M59" s="21"/>
      <c r="N59" s="48"/>
      <c r="O59" s="45"/>
      <c r="P59" s="11"/>
      <c r="Q59" s="409"/>
      <c r="R59" s="404"/>
      <c r="S59" s="410"/>
      <c r="T59" s="332"/>
      <c r="W59">
        <f t="shared" ref="W59:W65" si="42">IF(C59&gt;B59,1,0)</f>
        <v>1</v>
      </c>
      <c r="X59">
        <f t="shared" si="36"/>
        <v>0</v>
      </c>
      <c r="Y59">
        <f t="shared" si="37"/>
        <v>1</v>
      </c>
      <c r="Z59">
        <f t="shared" si="38"/>
        <v>0</v>
      </c>
      <c r="AA59">
        <f t="shared" si="39"/>
        <v>1</v>
      </c>
      <c r="AB59">
        <f t="shared" si="40"/>
        <v>0</v>
      </c>
      <c r="AC59">
        <f t="shared" si="41"/>
        <v>0</v>
      </c>
      <c r="AD59">
        <f t="shared" ref="AD59:AD64" si="43">IF(B60&gt;I59,1,0)</f>
        <v>1</v>
      </c>
      <c r="AF59" t="str">
        <f t="shared" ref="AF59:AF65" si="44">TEXT(BIN2HEX(_xlfn.CONCAT(W59,X59,Y59,Z59,AA59,AB59,AC59,AD59)),"00")</f>
        <v>A9</v>
      </c>
    </row>
    <row r="60" spans="1:32" x14ac:dyDescent="0.25">
      <c r="A60" s="1">
        <f t="shared" ref="A60:A65" si="45">A59+1</f>
        <v>3</v>
      </c>
      <c r="B60" s="2">
        <f t="shared" si="35"/>
        <v>136</v>
      </c>
      <c r="C60" s="2">
        <f t="shared" si="35"/>
        <v>144</v>
      </c>
      <c r="D60" s="2">
        <f t="shared" si="35"/>
        <v>218</v>
      </c>
      <c r="E60" s="2">
        <f t="shared" si="35"/>
        <v>241</v>
      </c>
      <c r="F60" s="2">
        <f t="shared" si="35"/>
        <v>227</v>
      </c>
      <c r="G60" s="2">
        <f t="shared" si="35"/>
        <v>140</v>
      </c>
      <c r="H60" s="2">
        <f t="shared" si="35"/>
        <v>131</v>
      </c>
      <c r="I60" s="2">
        <f t="shared" si="35"/>
        <v>121</v>
      </c>
      <c r="M60" s="115"/>
      <c r="N60" s="43"/>
      <c r="O60" s="119"/>
      <c r="P60" s="310"/>
      <c r="Q60" s="310"/>
      <c r="R60" s="411"/>
      <c r="S60" s="325"/>
      <c r="T60" s="227"/>
      <c r="W60">
        <f t="shared" si="42"/>
        <v>1</v>
      </c>
      <c r="X60">
        <f t="shared" si="36"/>
        <v>1</v>
      </c>
      <c r="Y60">
        <f t="shared" si="37"/>
        <v>1</v>
      </c>
      <c r="Z60">
        <f t="shared" si="38"/>
        <v>0</v>
      </c>
      <c r="AA60">
        <f t="shared" si="39"/>
        <v>0</v>
      </c>
      <c r="AB60">
        <f t="shared" si="40"/>
        <v>0</v>
      </c>
      <c r="AC60">
        <f t="shared" si="41"/>
        <v>0</v>
      </c>
      <c r="AD60">
        <f t="shared" si="43"/>
        <v>0</v>
      </c>
      <c r="AF60" t="str">
        <f t="shared" si="44"/>
        <v>E0</v>
      </c>
    </row>
    <row r="61" spans="1:32" x14ac:dyDescent="0.25">
      <c r="A61" s="1">
        <f t="shared" si="45"/>
        <v>4</v>
      </c>
      <c r="B61" s="2">
        <f t="shared" si="35"/>
        <v>85</v>
      </c>
      <c r="C61" s="2">
        <f t="shared" si="35"/>
        <v>76</v>
      </c>
      <c r="D61" s="2">
        <f t="shared" si="35"/>
        <v>243</v>
      </c>
      <c r="E61" s="2">
        <f t="shared" si="35"/>
        <v>253</v>
      </c>
      <c r="F61" s="2">
        <f t="shared" si="35"/>
        <v>205</v>
      </c>
      <c r="G61" s="2">
        <f t="shared" si="35"/>
        <v>231</v>
      </c>
      <c r="H61" s="2">
        <f t="shared" si="35"/>
        <v>222</v>
      </c>
      <c r="I61" s="2">
        <f t="shared" si="35"/>
        <v>194</v>
      </c>
      <c r="M61" s="222"/>
      <c r="N61" s="45"/>
      <c r="O61" s="99"/>
      <c r="P61" s="412"/>
      <c r="Q61" s="310"/>
      <c r="R61" s="213"/>
      <c r="S61" s="229"/>
      <c r="T61" s="334"/>
      <c r="W61">
        <f t="shared" si="42"/>
        <v>0</v>
      </c>
      <c r="X61">
        <f t="shared" si="36"/>
        <v>1</v>
      </c>
      <c r="Y61">
        <f t="shared" si="37"/>
        <v>1</v>
      </c>
      <c r="Z61">
        <f t="shared" si="38"/>
        <v>0</v>
      </c>
      <c r="AA61">
        <f t="shared" si="39"/>
        <v>1</v>
      </c>
      <c r="AB61">
        <f t="shared" si="40"/>
        <v>0</v>
      </c>
      <c r="AC61">
        <f t="shared" si="41"/>
        <v>0</v>
      </c>
      <c r="AD61">
        <f t="shared" si="43"/>
        <v>0</v>
      </c>
      <c r="AF61" t="str">
        <f t="shared" si="44"/>
        <v>68</v>
      </c>
    </row>
    <row r="62" spans="1:32" x14ac:dyDescent="0.25">
      <c r="A62" s="1">
        <f t="shared" si="45"/>
        <v>5</v>
      </c>
      <c r="B62" s="2">
        <f t="shared" si="35"/>
        <v>98</v>
      </c>
      <c r="C62" s="2">
        <f t="shared" si="35"/>
        <v>62</v>
      </c>
      <c r="D62" s="2">
        <f t="shared" si="35"/>
        <v>234</v>
      </c>
      <c r="E62" s="2">
        <f t="shared" si="35"/>
        <v>238</v>
      </c>
      <c r="F62" s="2">
        <f t="shared" si="35"/>
        <v>199</v>
      </c>
      <c r="G62" s="2">
        <f t="shared" si="35"/>
        <v>195</v>
      </c>
      <c r="H62" s="2">
        <f t="shared" si="35"/>
        <v>116</v>
      </c>
      <c r="I62" s="2">
        <f t="shared" si="35"/>
        <v>77</v>
      </c>
      <c r="M62" s="30"/>
      <c r="N62" s="28"/>
      <c r="O62" s="49"/>
      <c r="P62" s="310"/>
      <c r="Q62" s="15"/>
      <c r="R62" s="99"/>
      <c r="S62" s="12"/>
      <c r="T62" s="83"/>
      <c r="W62">
        <f t="shared" si="42"/>
        <v>0</v>
      </c>
      <c r="X62">
        <f t="shared" si="36"/>
        <v>1</v>
      </c>
      <c r="Y62">
        <f t="shared" si="37"/>
        <v>1</v>
      </c>
      <c r="Z62">
        <f t="shared" si="38"/>
        <v>0</v>
      </c>
      <c r="AA62">
        <f t="shared" si="39"/>
        <v>0</v>
      </c>
      <c r="AB62">
        <f t="shared" si="40"/>
        <v>0</v>
      </c>
      <c r="AC62">
        <f t="shared" si="41"/>
        <v>0</v>
      </c>
      <c r="AD62">
        <f t="shared" si="43"/>
        <v>0</v>
      </c>
      <c r="AF62" t="str">
        <f t="shared" si="44"/>
        <v>60</v>
      </c>
    </row>
    <row r="63" spans="1:32" x14ac:dyDescent="0.25">
      <c r="A63" s="1">
        <f t="shared" si="45"/>
        <v>6</v>
      </c>
      <c r="B63" s="2">
        <f t="shared" si="35"/>
        <v>71</v>
      </c>
      <c r="C63" s="2">
        <f t="shared" si="35"/>
        <v>39</v>
      </c>
      <c r="D63" s="2">
        <f t="shared" si="35"/>
        <v>248</v>
      </c>
      <c r="E63" s="2">
        <f t="shared" si="35"/>
        <v>250</v>
      </c>
      <c r="F63" s="2">
        <f t="shared" si="35"/>
        <v>201</v>
      </c>
      <c r="G63" s="2">
        <f t="shared" si="35"/>
        <v>188</v>
      </c>
      <c r="H63" s="2">
        <f t="shared" si="35"/>
        <v>236</v>
      </c>
      <c r="I63" s="2">
        <f t="shared" si="35"/>
        <v>58</v>
      </c>
      <c r="M63" s="95"/>
      <c r="N63" s="136"/>
      <c r="O63" s="41"/>
      <c r="P63" s="55"/>
      <c r="Q63" s="129"/>
      <c r="R63" s="221"/>
      <c r="S63" s="13"/>
      <c r="T63" s="112"/>
      <c r="W63">
        <f t="shared" si="42"/>
        <v>0</v>
      </c>
      <c r="X63">
        <f t="shared" si="36"/>
        <v>1</v>
      </c>
      <c r="Y63">
        <f t="shared" si="37"/>
        <v>1</v>
      </c>
      <c r="Z63">
        <f t="shared" si="38"/>
        <v>0</v>
      </c>
      <c r="AA63">
        <f t="shared" si="39"/>
        <v>0</v>
      </c>
      <c r="AB63">
        <f t="shared" si="40"/>
        <v>1</v>
      </c>
      <c r="AC63">
        <f t="shared" si="41"/>
        <v>0</v>
      </c>
      <c r="AD63">
        <f t="shared" si="43"/>
        <v>1</v>
      </c>
      <c r="AF63" t="str">
        <f t="shared" si="44"/>
        <v>65</v>
      </c>
    </row>
    <row r="64" spans="1:32" x14ac:dyDescent="0.25">
      <c r="A64" s="1">
        <f t="shared" si="45"/>
        <v>7</v>
      </c>
      <c r="B64" s="2">
        <f t="shared" si="35"/>
        <v>109</v>
      </c>
      <c r="C64" s="2">
        <f t="shared" si="35"/>
        <v>125</v>
      </c>
      <c r="D64" s="2">
        <f t="shared" si="35"/>
        <v>126</v>
      </c>
      <c r="E64" s="2">
        <f t="shared" si="35"/>
        <v>49</v>
      </c>
      <c r="F64" s="2">
        <f t="shared" si="35"/>
        <v>23</v>
      </c>
      <c r="G64" s="2">
        <f t="shared" si="35"/>
        <v>16</v>
      </c>
      <c r="H64" s="2">
        <f t="shared" si="35"/>
        <v>61</v>
      </c>
      <c r="I64" s="2">
        <f t="shared" si="35"/>
        <v>33</v>
      </c>
      <c r="M64" s="104"/>
      <c r="N64" s="403"/>
      <c r="O64" s="122"/>
      <c r="P64" s="235"/>
      <c r="Q64" s="410"/>
      <c r="R64" s="224"/>
      <c r="S64" s="210"/>
      <c r="T64" s="74"/>
      <c r="W64">
        <f t="shared" si="42"/>
        <v>1</v>
      </c>
      <c r="X64">
        <f t="shared" si="36"/>
        <v>1</v>
      </c>
      <c r="Y64">
        <f t="shared" si="37"/>
        <v>0</v>
      </c>
      <c r="Z64">
        <f t="shared" si="38"/>
        <v>0</v>
      </c>
      <c r="AA64">
        <f t="shared" si="39"/>
        <v>0</v>
      </c>
      <c r="AB64">
        <f t="shared" si="40"/>
        <v>1</v>
      </c>
      <c r="AC64">
        <f t="shared" si="41"/>
        <v>0</v>
      </c>
      <c r="AD64">
        <f t="shared" si="43"/>
        <v>1</v>
      </c>
      <c r="AF64" t="str">
        <f t="shared" si="44"/>
        <v>C5</v>
      </c>
    </row>
    <row r="65" spans="1:32" x14ac:dyDescent="0.25">
      <c r="A65" s="1">
        <f t="shared" si="45"/>
        <v>8</v>
      </c>
      <c r="B65" s="2">
        <f t="shared" si="35"/>
        <v>119</v>
      </c>
      <c r="C65" s="2">
        <f t="shared" si="35"/>
        <v>118</v>
      </c>
      <c r="D65" s="2">
        <f t="shared" si="35"/>
        <v>114</v>
      </c>
      <c r="E65" s="2">
        <f t="shared" si="35"/>
        <v>131</v>
      </c>
      <c r="F65" s="2">
        <f t="shared" si="35"/>
        <v>119</v>
      </c>
      <c r="G65" s="2">
        <f t="shared" si="35"/>
        <v>119</v>
      </c>
      <c r="H65" s="2">
        <f t="shared" si="35"/>
        <v>119</v>
      </c>
      <c r="I65" s="2">
        <f t="shared" si="35"/>
        <v>110</v>
      </c>
      <c r="M65" s="136"/>
      <c r="N65" s="38"/>
      <c r="O65" s="413"/>
      <c r="P65" s="116"/>
      <c r="Q65" s="222"/>
      <c r="R65" s="333"/>
      <c r="S65" s="238"/>
      <c r="T65" s="142"/>
      <c r="W65">
        <f t="shared" si="42"/>
        <v>0</v>
      </c>
      <c r="X65">
        <f t="shared" si="36"/>
        <v>0</v>
      </c>
      <c r="Y65">
        <f t="shared" si="37"/>
        <v>1</v>
      </c>
      <c r="Z65">
        <f t="shared" si="38"/>
        <v>0</v>
      </c>
      <c r="AA65">
        <f t="shared" si="39"/>
        <v>0</v>
      </c>
      <c r="AB65">
        <f t="shared" si="40"/>
        <v>0</v>
      </c>
      <c r="AC65">
        <f t="shared" si="41"/>
        <v>0</v>
      </c>
      <c r="AD65">
        <f>IF(B58&gt;I65,1,0)</f>
        <v>1</v>
      </c>
      <c r="AF65" t="str">
        <f t="shared" si="44"/>
        <v>21</v>
      </c>
    </row>
    <row r="66" spans="1:32" x14ac:dyDescent="0.25">
      <c r="AF66" t="str">
        <f>_xlfn.CONCAT(AF58,AF59,AF60,AF61,AF62,AF63,AF64,AF65)</f>
        <v>8CA9E0686065C521</v>
      </c>
    </row>
    <row r="67" spans="1:32" x14ac:dyDescent="0.25">
      <c r="A67" t="s">
        <v>3</v>
      </c>
      <c r="B67" s="1">
        <v>1</v>
      </c>
      <c r="C67" s="1">
        <f>B67+1</f>
        <v>2</v>
      </c>
      <c r="D67" s="1">
        <f t="shared" ref="D67:I67" si="46">C67+1</f>
        <v>3</v>
      </c>
      <c r="E67" s="1">
        <f t="shared" si="46"/>
        <v>4</v>
      </c>
      <c r="F67" s="1">
        <f t="shared" si="46"/>
        <v>5</v>
      </c>
      <c r="G67" s="1">
        <f t="shared" si="46"/>
        <v>6</v>
      </c>
      <c r="H67" s="1">
        <f t="shared" si="46"/>
        <v>7</v>
      </c>
      <c r="I67" s="1">
        <f t="shared" si="46"/>
        <v>8</v>
      </c>
      <c r="AF67">
        <f>SUM(W68:AD75)</f>
        <v>23</v>
      </c>
    </row>
    <row r="68" spans="1:32" x14ac:dyDescent="0.25">
      <c r="A68" s="1">
        <v>1</v>
      </c>
      <c r="B68" s="2">
        <f t="shared" ref="B68:I75" si="47">HEX2DEC(MID($B$1,B28,2))</f>
        <v>161</v>
      </c>
      <c r="C68" s="2">
        <f t="shared" si="47"/>
        <v>158</v>
      </c>
      <c r="D68" s="2">
        <f t="shared" si="47"/>
        <v>165</v>
      </c>
      <c r="E68" s="2">
        <f t="shared" si="47"/>
        <v>164</v>
      </c>
      <c r="F68" s="2">
        <f t="shared" si="47"/>
        <v>146</v>
      </c>
      <c r="G68" s="2">
        <f t="shared" si="47"/>
        <v>143</v>
      </c>
      <c r="H68" s="2">
        <f t="shared" si="47"/>
        <v>157</v>
      </c>
      <c r="I68" s="2">
        <f t="shared" si="47"/>
        <v>142</v>
      </c>
      <c r="M68" s="36"/>
      <c r="N68" s="8"/>
      <c r="O68" s="8"/>
      <c r="P68" s="135"/>
      <c r="Q68" s="39"/>
      <c r="R68" s="244"/>
      <c r="S68" s="114"/>
      <c r="T68" s="94"/>
      <c r="W68">
        <f>IF(C68&gt;B68,1,0)</f>
        <v>0</v>
      </c>
      <c r="X68">
        <f t="shared" ref="X68:X75" si="48">IF(D68&gt;C68,1,0)</f>
        <v>1</v>
      </c>
      <c r="Y68">
        <f t="shared" ref="Y68:Y75" si="49">IF(E68&gt;D68,1,0)</f>
        <v>0</v>
      </c>
      <c r="Z68">
        <f t="shared" ref="Z68:Z75" si="50">IF(F68&gt;E68,1,0)</f>
        <v>0</v>
      </c>
      <c r="AA68">
        <f t="shared" ref="AA68:AA75" si="51">IF(G68&gt;F68,1,0)</f>
        <v>0</v>
      </c>
      <c r="AB68">
        <f t="shared" ref="AB68:AB75" si="52">IF(H68&gt;G68,1,0)</f>
        <v>1</v>
      </c>
      <c r="AC68">
        <f t="shared" ref="AC68:AC75" si="53">IF(I68&gt;H68,1,0)</f>
        <v>0</v>
      </c>
      <c r="AD68">
        <f>IF(B69&gt;I68,1,0)</f>
        <v>0</v>
      </c>
      <c r="AF68" t="str">
        <f>TEXT(BIN2HEX(_xlfn.CONCAT(W68,X68,Y68,Z68,AA68,AB68,AC68,AD68)),"00")</f>
        <v>44</v>
      </c>
    </row>
    <row r="69" spans="1:32" x14ac:dyDescent="0.25">
      <c r="A69" s="1">
        <f>A68+1</f>
        <v>2</v>
      </c>
      <c r="B69" s="2">
        <f t="shared" si="47"/>
        <v>137</v>
      </c>
      <c r="C69" s="2">
        <f t="shared" si="47"/>
        <v>141</v>
      </c>
      <c r="D69" s="2">
        <f t="shared" si="47"/>
        <v>141</v>
      </c>
      <c r="E69" s="2">
        <f t="shared" si="47"/>
        <v>150</v>
      </c>
      <c r="F69" s="2">
        <f t="shared" si="47"/>
        <v>134</v>
      </c>
      <c r="G69" s="2">
        <f t="shared" si="47"/>
        <v>134</v>
      </c>
      <c r="H69" s="2">
        <f t="shared" si="47"/>
        <v>121</v>
      </c>
      <c r="I69" s="2">
        <f t="shared" si="47"/>
        <v>111</v>
      </c>
      <c r="M69" s="128"/>
      <c r="N69" s="308"/>
      <c r="O69" s="10"/>
      <c r="P69" s="34"/>
      <c r="Q69" s="217"/>
      <c r="R69" s="23"/>
      <c r="S69" s="81"/>
      <c r="T69" s="414"/>
      <c r="W69">
        <f t="shared" ref="W69:W75" si="54">IF(C69&gt;B69,1,0)</f>
        <v>1</v>
      </c>
      <c r="X69">
        <f t="shared" si="48"/>
        <v>0</v>
      </c>
      <c r="Y69">
        <f t="shared" si="49"/>
        <v>1</v>
      </c>
      <c r="Z69">
        <f t="shared" si="50"/>
        <v>0</v>
      </c>
      <c r="AA69">
        <f t="shared" si="51"/>
        <v>0</v>
      </c>
      <c r="AB69">
        <f t="shared" si="52"/>
        <v>0</v>
      </c>
      <c r="AC69">
        <f t="shared" si="53"/>
        <v>0</v>
      </c>
      <c r="AD69">
        <f t="shared" ref="AD69:AD74" si="55">IF(B70&gt;I69,1,0)</f>
        <v>1</v>
      </c>
      <c r="AF69" t="str">
        <f t="shared" ref="AF69:AF75" si="56">TEXT(BIN2HEX(_xlfn.CONCAT(W69,X69,Y69,Z69,AA69,AB69,AC69,AD69)),"00")</f>
        <v>A1</v>
      </c>
    </row>
    <row r="70" spans="1:32" x14ac:dyDescent="0.25">
      <c r="A70" s="1">
        <f t="shared" ref="A70:A75" si="57">A69+1</f>
        <v>3</v>
      </c>
      <c r="B70" s="2">
        <f t="shared" si="47"/>
        <v>143</v>
      </c>
      <c r="C70" s="2">
        <f t="shared" si="47"/>
        <v>139</v>
      </c>
      <c r="D70" s="2">
        <f t="shared" si="47"/>
        <v>89</v>
      </c>
      <c r="E70" s="2">
        <f t="shared" si="47"/>
        <v>107</v>
      </c>
      <c r="F70" s="2">
        <f t="shared" si="47"/>
        <v>133</v>
      </c>
      <c r="G70" s="2">
        <f t="shared" si="47"/>
        <v>136</v>
      </c>
      <c r="H70" s="2">
        <f t="shared" si="47"/>
        <v>126</v>
      </c>
      <c r="I70" s="2">
        <f t="shared" si="47"/>
        <v>119</v>
      </c>
      <c r="M70" s="415"/>
      <c r="N70" s="416"/>
      <c r="O70" s="32"/>
      <c r="P70" s="55"/>
      <c r="Q70" s="60"/>
      <c r="R70" s="58"/>
      <c r="S70" s="417"/>
      <c r="T70" s="331"/>
      <c r="W70">
        <f t="shared" si="54"/>
        <v>0</v>
      </c>
      <c r="X70">
        <f t="shared" si="48"/>
        <v>0</v>
      </c>
      <c r="Y70">
        <f t="shared" si="49"/>
        <v>1</v>
      </c>
      <c r="Z70">
        <f t="shared" si="50"/>
        <v>1</v>
      </c>
      <c r="AA70">
        <f t="shared" si="51"/>
        <v>1</v>
      </c>
      <c r="AB70">
        <f t="shared" si="52"/>
        <v>0</v>
      </c>
      <c r="AC70">
        <f t="shared" si="53"/>
        <v>0</v>
      </c>
      <c r="AD70">
        <f t="shared" si="55"/>
        <v>0</v>
      </c>
      <c r="AF70" t="str">
        <f t="shared" si="56"/>
        <v>38</v>
      </c>
    </row>
    <row r="71" spans="1:32" x14ac:dyDescent="0.25">
      <c r="A71" s="1">
        <f t="shared" si="57"/>
        <v>4</v>
      </c>
      <c r="B71" s="2">
        <f t="shared" si="47"/>
        <v>95</v>
      </c>
      <c r="C71" s="2">
        <f t="shared" si="47"/>
        <v>81</v>
      </c>
      <c r="D71" s="2">
        <f t="shared" si="47"/>
        <v>244</v>
      </c>
      <c r="E71" s="2">
        <f t="shared" si="47"/>
        <v>248</v>
      </c>
      <c r="F71" s="2">
        <f t="shared" si="47"/>
        <v>200</v>
      </c>
      <c r="G71" s="2">
        <f t="shared" si="47"/>
        <v>231</v>
      </c>
      <c r="H71" s="2">
        <f t="shared" si="47"/>
        <v>223</v>
      </c>
      <c r="I71" s="2">
        <f t="shared" si="47"/>
        <v>198</v>
      </c>
      <c r="M71" s="237"/>
      <c r="N71" s="418"/>
      <c r="O71" s="87"/>
      <c r="P71" s="138"/>
      <c r="Q71" s="338"/>
      <c r="R71" s="229"/>
      <c r="S71" s="334"/>
      <c r="T71" s="44"/>
      <c r="W71">
        <f t="shared" si="54"/>
        <v>0</v>
      </c>
      <c r="X71">
        <f t="shared" si="48"/>
        <v>1</v>
      </c>
      <c r="Y71">
        <f t="shared" si="49"/>
        <v>1</v>
      </c>
      <c r="Z71">
        <f t="shared" si="50"/>
        <v>0</v>
      </c>
      <c r="AA71">
        <f t="shared" si="51"/>
        <v>1</v>
      </c>
      <c r="AB71">
        <f t="shared" si="52"/>
        <v>0</v>
      </c>
      <c r="AC71">
        <f t="shared" si="53"/>
        <v>0</v>
      </c>
      <c r="AD71">
        <f t="shared" si="55"/>
        <v>0</v>
      </c>
      <c r="AF71" t="str">
        <f t="shared" si="56"/>
        <v>68</v>
      </c>
    </row>
    <row r="72" spans="1:32" x14ac:dyDescent="0.25">
      <c r="A72" s="1">
        <f t="shared" si="57"/>
        <v>5</v>
      </c>
      <c r="B72" s="2">
        <f t="shared" si="47"/>
        <v>105</v>
      </c>
      <c r="C72" s="2">
        <f t="shared" si="47"/>
        <v>55</v>
      </c>
      <c r="D72" s="2">
        <f t="shared" si="47"/>
        <v>233</v>
      </c>
      <c r="E72" s="2">
        <f t="shared" si="47"/>
        <v>157</v>
      </c>
      <c r="F72" s="2">
        <f t="shared" si="47"/>
        <v>53</v>
      </c>
      <c r="G72" s="2">
        <f t="shared" si="47"/>
        <v>197</v>
      </c>
      <c r="H72" s="2">
        <f t="shared" si="47"/>
        <v>111</v>
      </c>
      <c r="I72" s="2">
        <f t="shared" si="47"/>
        <v>87</v>
      </c>
      <c r="M72" s="60"/>
      <c r="N72" s="326"/>
      <c r="O72" s="98"/>
      <c r="P72" s="32"/>
      <c r="Q72" s="94"/>
      <c r="R72" s="59"/>
      <c r="S72" s="131"/>
      <c r="T72" s="96"/>
      <c r="W72">
        <f t="shared" si="54"/>
        <v>0</v>
      </c>
      <c r="X72">
        <f t="shared" si="48"/>
        <v>1</v>
      </c>
      <c r="Y72">
        <f t="shared" si="49"/>
        <v>0</v>
      </c>
      <c r="Z72">
        <f t="shared" si="50"/>
        <v>0</v>
      </c>
      <c r="AA72">
        <f t="shared" si="51"/>
        <v>1</v>
      </c>
      <c r="AB72">
        <f t="shared" si="52"/>
        <v>0</v>
      </c>
      <c r="AC72">
        <f t="shared" si="53"/>
        <v>0</v>
      </c>
      <c r="AD72">
        <f t="shared" si="55"/>
        <v>0</v>
      </c>
      <c r="AF72" t="str">
        <f t="shared" si="56"/>
        <v>48</v>
      </c>
    </row>
    <row r="73" spans="1:32" x14ac:dyDescent="0.25">
      <c r="A73" s="1">
        <f t="shared" si="57"/>
        <v>6</v>
      </c>
      <c r="B73" s="2">
        <f t="shared" si="47"/>
        <v>82</v>
      </c>
      <c r="C73" s="2">
        <f t="shared" si="47"/>
        <v>32</v>
      </c>
      <c r="D73" s="2">
        <f t="shared" si="47"/>
        <v>250</v>
      </c>
      <c r="E73" s="2">
        <f t="shared" si="47"/>
        <v>246</v>
      </c>
      <c r="F73" s="2">
        <f t="shared" si="47"/>
        <v>209</v>
      </c>
      <c r="G73" s="2">
        <f t="shared" si="47"/>
        <v>190</v>
      </c>
      <c r="H73" s="2">
        <f t="shared" si="47"/>
        <v>239</v>
      </c>
      <c r="I73" s="2">
        <f t="shared" si="47"/>
        <v>54</v>
      </c>
      <c r="M73" s="241"/>
      <c r="N73" s="419"/>
      <c r="O73" s="124"/>
      <c r="P73" s="420"/>
      <c r="Q73" s="105"/>
      <c r="R73" s="133"/>
      <c r="S73" s="421"/>
      <c r="T73" s="308"/>
      <c r="W73">
        <f t="shared" si="54"/>
        <v>0</v>
      </c>
      <c r="X73">
        <f t="shared" si="48"/>
        <v>1</v>
      </c>
      <c r="Y73">
        <f t="shared" si="49"/>
        <v>0</v>
      </c>
      <c r="Z73">
        <f t="shared" si="50"/>
        <v>0</v>
      </c>
      <c r="AA73">
        <f t="shared" si="51"/>
        <v>0</v>
      </c>
      <c r="AB73">
        <f t="shared" si="52"/>
        <v>1</v>
      </c>
      <c r="AC73">
        <f t="shared" si="53"/>
        <v>0</v>
      </c>
      <c r="AD73">
        <f t="shared" si="55"/>
        <v>1</v>
      </c>
      <c r="AF73" t="str">
        <f t="shared" si="56"/>
        <v>45</v>
      </c>
    </row>
    <row r="74" spans="1:32" x14ac:dyDescent="0.25">
      <c r="A74" s="1">
        <f t="shared" si="57"/>
        <v>7</v>
      </c>
      <c r="B74" s="2">
        <f t="shared" si="47"/>
        <v>114</v>
      </c>
      <c r="C74" s="2">
        <f t="shared" si="47"/>
        <v>121</v>
      </c>
      <c r="D74" s="2">
        <f t="shared" si="47"/>
        <v>120</v>
      </c>
      <c r="E74" s="2">
        <f t="shared" si="47"/>
        <v>46</v>
      </c>
      <c r="F74" s="2">
        <f t="shared" si="47"/>
        <v>19</v>
      </c>
      <c r="G74" s="2">
        <f t="shared" si="47"/>
        <v>16</v>
      </c>
      <c r="H74" s="2">
        <f t="shared" si="47"/>
        <v>61</v>
      </c>
      <c r="I74" s="2">
        <f t="shared" si="47"/>
        <v>31</v>
      </c>
      <c r="M74" s="113"/>
      <c r="N74" s="329"/>
      <c r="O74" s="318"/>
      <c r="P74" s="42"/>
      <c r="Q74" s="334"/>
      <c r="R74" s="322"/>
      <c r="S74" s="9"/>
      <c r="T74" s="97"/>
      <c r="W74">
        <f t="shared" si="54"/>
        <v>1</v>
      </c>
      <c r="X74">
        <f t="shared" si="48"/>
        <v>0</v>
      </c>
      <c r="Y74">
        <f t="shared" si="49"/>
        <v>0</v>
      </c>
      <c r="Z74">
        <f t="shared" si="50"/>
        <v>0</v>
      </c>
      <c r="AA74">
        <f t="shared" si="51"/>
        <v>0</v>
      </c>
      <c r="AB74">
        <f t="shared" si="52"/>
        <v>1</v>
      </c>
      <c r="AC74">
        <f t="shared" si="53"/>
        <v>0</v>
      </c>
      <c r="AD74">
        <f t="shared" si="55"/>
        <v>1</v>
      </c>
      <c r="AF74" t="str">
        <f t="shared" si="56"/>
        <v>85</v>
      </c>
    </row>
    <row r="75" spans="1:32" x14ac:dyDescent="0.25">
      <c r="A75" s="1">
        <f t="shared" si="57"/>
        <v>8</v>
      </c>
      <c r="B75" s="2">
        <f t="shared" si="47"/>
        <v>119</v>
      </c>
      <c r="C75" s="2">
        <f t="shared" si="47"/>
        <v>120</v>
      </c>
      <c r="D75" s="2">
        <f t="shared" si="47"/>
        <v>118</v>
      </c>
      <c r="E75" s="2">
        <f t="shared" si="47"/>
        <v>131</v>
      </c>
      <c r="F75" s="2">
        <f t="shared" si="47"/>
        <v>122</v>
      </c>
      <c r="G75" s="2">
        <f t="shared" si="47"/>
        <v>119</v>
      </c>
      <c r="H75" s="2">
        <f t="shared" si="47"/>
        <v>123</v>
      </c>
      <c r="I75" s="2">
        <f t="shared" si="47"/>
        <v>110</v>
      </c>
      <c r="M75" s="27"/>
      <c r="N75" s="19"/>
      <c r="O75" s="219"/>
      <c r="P75" s="14"/>
      <c r="Q75" s="44"/>
      <c r="R75" s="409"/>
      <c r="S75" s="69"/>
      <c r="T75" s="57"/>
      <c r="W75">
        <f t="shared" si="54"/>
        <v>1</v>
      </c>
      <c r="X75">
        <f t="shared" si="48"/>
        <v>0</v>
      </c>
      <c r="Y75">
        <f t="shared" si="49"/>
        <v>1</v>
      </c>
      <c r="Z75">
        <f t="shared" si="50"/>
        <v>0</v>
      </c>
      <c r="AA75">
        <f t="shared" si="51"/>
        <v>0</v>
      </c>
      <c r="AB75">
        <f t="shared" si="52"/>
        <v>1</v>
      </c>
      <c r="AC75">
        <f t="shared" si="53"/>
        <v>0</v>
      </c>
      <c r="AD75">
        <f>IF(B68&gt;I75,1,0)</f>
        <v>1</v>
      </c>
      <c r="AF75" t="str">
        <f t="shared" si="56"/>
        <v>A5</v>
      </c>
    </row>
    <row r="76" spans="1:32" x14ac:dyDescent="0.25">
      <c r="AF76" t="str">
        <f>_xlfn.CONCAT(AF68,AF69,AF70,AF71,AF72,AF73,AF74,AF75)</f>
        <v>44A13868484585A5</v>
      </c>
    </row>
    <row r="77" spans="1:32" x14ac:dyDescent="0.25">
      <c r="A77" t="s">
        <v>4</v>
      </c>
      <c r="B77" s="1">
        <v>1</v>
      </c>
      <c r="C77" s="1">
        <f>B77+1</f>
        <v>2</v>
      </c>
      <c r="D77" s="1">
        <f t="shared" ref="D77:I77" si="58">C77+1</f>
        <v>3</v>
      </c>
      <c r="E77" s="1">
        <f t="shared" si="58"/>
        <v>4</v>
      </c>
      <c r="F77" s="1">
        <f t="shared" si="58"/>
        <v>5</v>
      </c>
      <c r="G77" s="1">
        <f t="shared" si="58"/>
        <v>6</v>
      </c>
      <c r="H77" s="1">
        <f t="shared" si="58"/>
        <v>7</v>
      </c>
      <c r="I77" s="1">
        <f t="shared" si="58"/>
        <v>8</v>
      </c>
      <c r="AF77">
        <f>SUM(W78:AD85)</f>
        <v>28</v>
      </c>
    </row>
    <row r="78" spans="1:32" x14ac:dyDescent="0.25">
      <c r="A78" s="1">
        <v>1</v>
      </c>
      <c r="B78" s="2">
        <f t="shared" ref="B78:I85" si="59">HEX2DEC(MID($B$1,B38,2))</f>
        <v>151</v>
      </c>
      <c r="C78" s="2">
        <f t="shared" si="59"/>
        <v>153</v>
      </c>
      <c r="D78" s="2">
        <f t="shared" si="59"/>
        <v>167</v>
      </c>
      <c r="E78" s="2">
        <f t="shared" si="59"/>
        <v>168</v>
      </c>
      <c r="F78" s="2">
        <f t="shared" si="59"/>
        <v>150</v>
      </c>
      <c r="G78" s="2">
        <f t="shared" si="59"/>
        <v>154</v>
      </c>
      <c r="H78" s="2">
        <f t="shared" si="59"/>
        <v>158</v>
      </c>
      <c r="I78" s="2">
        <f t="shared" si="59"/>
        <v>151</v>
      </c>
      <c r="M78" s="108"/>
      <c r="N78" s="66"/>
      <c r="O78" s="103"/>
      <c r="P78" s="328"/>
      <c r="Q78" s="422"/>
      <c r="R78" s="118"/>
      <c r="S78" s="75"/>
      <c r="T78" s="423"/>
      <c r="W78">
        <f>IF(C78&gt;B78,1,0)</f>
        <v>1</v>
      </c>
      <c r="X78">
        <f t="shared" ref="X78:X85" si="60">IF(D78&gt;C78,1,0)</f>
        <v>1</v>
      </c>
      <c r="Y78">
        <f t="shared" ref="Y78:Y85" si="61">IF(E78&gt;D78,1,0)</f>
        <v>1</v>
      </c>
      <c r="Z78">
        <f t="shared" ref="Z78:Z85" si="62">IF(F78&gt;E78,1,0)</f>
        <v>0</v>
      </c>
      <c r="AA78">
        <f t="shared" ref="AA78:AA85" si="63">IF(G78&gt;F78,1,0)</f>
        <v>1</v>
      </c>
      <c r="AB78">
        <f t="shared" ref="AB78:AB85" si="64">IF(H78&gt;G78,1,0)</f>
        <v>1</v>
      </c>
      <c r="AC78">
        <f t="shared" ref="AC78:AC85" si="65">IF(I78&gt;H78,1,0)</f>
        <v>0</v>
      </c>
      <c r="AD78">
        <f>IF(B79&gt;I78,1,0)</f>
        <v>0</v>
      </c>
      <c r="AF78" t="str">
        <f>TEXT(BIN2HEX(_xlfn.CONCAT(W78,X78,Y78,Z78,AA78,AB78,AC78,AD78)),"00")</f>
        <v>EC</v>
      </c>
    </row>
    <row r="79" spans="1:32" x14ac:dyDescent="0.25">
      <c r="A79" s="1">
        <f>A78+1</f>
        <v>2</v>
      </c>
      <c r="B79" s="2">
        <f t="shared" si="59"/>
        <v>106</v>
      </c>
      <c r="C79" s="2">
        <f t="shared" si="59"/>
        <v>111</v>
      </c>
      <c r="D79" s="2">
        <f t="shared" si="59"/>
        <v>110</v>
      </c>
      <c r="E79" s="2">
        <f t="shared" si="59"/>
        <v>118</v>
      </c>
      <c r="F79" s="2">
        <f t="shared" si="59"/>
        <v>108</v>
      </c>
      <c r="G79" s="2">
        <f t="shared" si="59"/>
        <v>118</v>
      </c>
      <c r="H79" s="2">
        <f t="shared" si="59"/>
        <v>115</v>
      </c>
      <c r="I79" s="2">
        <f t="shared" si="59"/>
        <v>103</v>
      </c>
      <c r="M79" s="424"/>
      <c r="N79" s="425"/>
      <c r="O79" s="425"/>
      <c r="P79" s="8"/>
      <c r="Q79" s="321"/>
      <c r="R79" s="426"/>
      <c r="S79" s="427"/>
      <c r="T79" s="111"/>
      <c r="W79">
        <f t="shared" ref="W79:W85" si="66">IF(C79&gt;B79,1,0)</f>
        <v>1</v>
      </c>
      <c r="X79">
        <f t="shared" si="60"/>
        <v>0</v>
      </c>
      <c r="Y79">
        <f t="shared" si="61"/>
        <v>1</v>
      </c>
      <c r="Z79">
        <f t="shared" si="62"/>
        <v>0</v>
      </c>
      <c r="AA79">
        <f t="shared" si="63"/>
        <v>1</v>
      </c>
      <c r="AB79">
        <f t="shared" si="64"/>
        <v>0</v>
      </c>
      <c r="AC79">
        <f t="shared" si="65"/>
        <v>0</v>
      </c>
      <c r="AD79">
        <f t="shared" ref="AD79:AD84" si="67">IF(B80&gt;I79,1,0)</f>
        <v>0</v>
      </c>
      <c r="AF79" t="str">
        <f t="shared" ref="AF79:AF85" si="68">TEXT(BIN2HEX(_xlfn.CONCAT(W79,X79,Y79,Z79,AA79,AB79,AC79,AD79)),"00")</f>
        <v>A8</v>
      </c>
    </row>
    <row r="80" spans="1:32" x14ac:dyDescent="0.25">
      <c r="A80" s="1">
        <f t="shared" ref="A80:A85" si="69">A79+1</f>
        <v>3</v>
      </c>
      <c r="B80" s="2">
        <f t="shared" si="59"/>
        <v>101</v>
      </c>
      <c r="C80" s="2">
        <f t="shared" si="59"/>
        <v>107</v>
      </c>
      <c r="D80" s="2">
        <f t="shared" si="59"/>
        <v>57</v>
      </c>
      <c r="E80" s="2">
        <f t="shared" si="59"/>
        <v>78</v>
      </c>
      <c r="F80" s="2">
        <f t="shared" si="59"/>
        <v>107</v>
      </c>
      <c r="G80" s="2">
        <f t="shared" si="59"/>
        <v>101</v>
      </c>
      <c r="H80" s="2">
        <f t="shared" si="59"/>
        <v>96</v>
      </c>
      <c r="I80" s="2">
        <f t="shared" si="59"/>
        <v>94</v>
      </c>
      <c r="M80" s="425"/>
      <c r="N80" s="230"/>
      <c r="O80" s="102"/>
      <c r="P80" s="29"/>
      <c r="Q80" s="416"/>
      <c r="R80" s="333"/>
      <c r="S80" s="333"/>
      <c r="T80" s="333"/>
      <c r="W80">
        <f t="shared" si="66"/>
        <v>1</v>
      </c>
      <c r="X80">
        <f t="shared" si="60"/>
        <v>0</v>
      </c>
      <c r="Y80">
        <f t="shared" si="61"/>
        <v>1</v>
      </c>
      <c r="Z80">
        <f t="shared" si="62"/>
        <v>1</v>
      </c>
      <c r="AA80">
        <f t="shared" si="63"/>
        <v>0</v>
      </c>
      <c r="AB80">
        <f t="shared" si="64"/>
        <v>0</v>
      </c>
      <c r="AC80">
        <f t="shared" si="65"/>
        <v>0</v>
      </c>
      <c r="AD80">
        <f t="shared" si="67"/>
        <v>1</v>
      </c>
      <c r="AF80" t="str">
        <f t="shared" si="68"/>
        <v>B1</v>
      </c>
    </row>
    <row r="81" spans="1:32" x14ac:dyDescent="0.25">
      <c r="A81" s="1">
        <f t="shared" si="69"/>
        <v>4</v>
      </c>
      <c r="B81" s="2">
        <f t="shared" si="59"/>
        <v>97</v>
      </c>
      <c r="C81" s="2">
        <f t="shared" si="59"/>
        <v>87</v>
      </c>
      <c r="D81" s="2">
        <f t="shared" si="59"/>
        <v>236</v>
      </c>
      <c r="E81" s="2">
        <f t="shared" si="59"/>
        <v>244</v>
      </c>
      <c r="F81" s="2">
        <f t="shared" si="59"/>
        <v>194</v>
      </c>
      <c r="G81" s="2">
        <f t="shared" si="59"/>
        <v>229</v>
      </c>
      <c r="H81" s="2">
        <f t="shared" si="59"/>
        <v>225</v>
      </c>
      <c r="I81" s="2">
        <f t="shared" si="59"/>
        <v>201</v>
      </c>
      <c r="M81" s="215"/>
      <c r="N81" s="29"/>
      <c r="O81" s="231"/>
      <c r="P81" s="34"/>
      <c r="Q81" s="236"/>
      <c r="R81" s="81"/>
      <c r="S81" s="423"/>
      <c r="T81" s="243"/>
      <c r="W81">
        <f t="shared" si="66"/>
        <v>0</v>
      </c>
      <c r="X81">
        <f t="shared" si="60"/>
        <v>1</v>
      </c>
      <c r="Y81">
        <f t="shared" si="61"/>
        <v>1</v>
      </c>
      <c r="Z81">
        <f t="shared" si="62"/>
        <v>0</v>
      </c>
      <c r="AA81">
        <f t="shared" si="63"/>
        <v>1</v>
      </c>
      <c r="AB81">
        <f t="shared" si="64"/>
        <v>0</v>
      </c>
      <c r="AC81">
        <f t="shared" si="65"/>
        <v>0</v>
      </c>
      <c r="AD81">
        <f t="shared" si="67"/>
        <v>0</v>
      </c>
      <c r="AF81" t="str">
        <f t="shared" si="68"/>
        <v>68</v>
      </c>
    </row>
    <row r="82" spans="1:32" x14ac:dyDescent="0.25">
      <c r="A82" s="1">
        <f t="shared" si="69"/>
        <v>5</v>
      </c>
      <c r="B82" s="2">
        <f t="shared" si="59"/>
        <v>97</v>
      </c>
      <c r="C82" s="2">
        <f t="shared" si="59"/>
        <v>47</v>
      </c>
      <c r="D82" s="2">
        <f t="shared" si="59"/>
        <v>241</v>
      </c>
      <c r="E82" s="2">
        <f t="shared" si="59"/>
        <v>130</v>
      </c>
      <c r="F82" s="2">
        <f t="shared" si="59"/>
        <v>0</v>
      </c>
      <c r="G82" s="2">
        <f t="shared" si="59"/>
        <v>196</v>
      </c>
      <c r="H82" s="2">
        <f t="shared" si="59"/>
        <v>108</v>
      </c>
      <c r="I82" s="2">
        <f t="shared" si="59"/>
        <v>89</v>
      </c>
      <c r="M82" s="408"/>
      <c r="N82" s="310"/>
      <c r="O82" s="241"/>
      <c r="P82" s="85"/>
      <c r="Q82" s="335"/>
      <c r="R82" s="45"/>
      <c r="S82" s="94"/>
      <c r="T82" s="410"/>
      <c r="W82">
        <f t="shared" si="66"/>
        <v>0</v>
      </c>
      <c r="X82">
        <f t="shared" si="60"/>
        <v>1</v>
      </c>
      <c r="Y82">
        <f t="shared" si="61"/>
        <v>0</v>
      </c>
      <c r="Z82">
        <f t="shared" si="62"/>
        <v>0</v>
      </c>
      <c r="AA82">
        <f t="shared" si="63"/>
        <v>1</v>
      </c>
      <c r="AB82">
        <f t="shared" si="64"/>
        <v>0</v>
      </c>
      <c r="AC82">
        <f t="shared" si="65"/>
        <v>0</v>
      </c>
      <c r="AD82">
        <f t="shared" si="67"/>
        <v>0</v>
      </c>
      <c r="AF82" t="str">
        <f t="shared" si="68"/>
        <v>48</v>
      </c>
    </row>
    <row r="83" spans="1:32" x14ac:dyDescent="0.25">
      <c r="A83" s="1">
        <f t="shared" si="69"/>
        <v>6</v>
      </c>
      <c r="B83" s="2">
        <f t="shared" si="59"/>
        <v>74</v>
      </c>
      <c r="C83" s="2">
        <f t="shared" si="59"/>
        <v>26</v>
      </c>
      <c r="D83" s="2">
        <f t="shared" si="59"/>
        <v>249</v>
      </c>
      <c r="E83" s="2">
        <f t="shared" si="59"/>
        <v>247</v>
      </c>
      <c r="F83" s="2">
        <f t="shared" si="59"/>
        <v>220</v>
      </c>
      <c r="G83" s="2">
        <f t="shared" si="59"/>
        <v>202</v>
      </c>
      <c r="H83" s="2">
        <f t="shared" si="59"/>
        <v>248</v>
      </c>
      <c r="I83" s="2">
        <f t="shared" si="59"/>
        <v>51</v>
      </c>
      <c r="M83" s="113"/>
      <c r="N83" s="410"/>
      <c r="O83" s="20"/>
      <c r="P83" s="63"/>
      <c r="Q83" s="122"/>
      <c r="R83" s="410"/>
      <c r="S83" s="324"/>
      <c r="T83" s="426"/>
      <c r="W83">
        <f t="shared" si="66"/>
        <v>0</v>
      </c>
      <c r="X83">
        <f t="shared" si="60"/>
        <v>1</v>
      </c>
      <c r="Y83">
        <f t="shared" si="61"/>
        <v>0</v>
      </c>
      <c r="Z83">
        <f t="shared" si="62"/>
        <v>0</v>
      </c>
      <c r="AA83">
        <f t="shared" si="63"/>
        <v>0</v>
      </c>
      <c r="AB83">
        <f t="shared" si="64"/>
        <v>1</v>
      </c>
      <c r="AC83">
        <f t="shared" si="65"/>
        <v>0</v>
      </c>
      <c r="AD83">
        <f t="shared" si="67"/>
        <v>1</v>
      </c>
      <c r="AF83" t="str">
        <f t="shared" si="68"/>
        <v>45</v>
      </c>
    </row>
    <row r="84" spans="1:32" x14ac:dyDescent="0.25">
      <c r="A84" s="1">
        <f t="shared" si="69"/>
        <v>7</v>
      </c>
      <c r="B84" s="2">
        <f t="shared" si="59"/>
        <v>117</v>
      </c>
      <c r="C84" s="2">
        <f t="shared" si="59"/>
        <v>135</v>
      </c>
      <c r="D84" s="2">
        <f t="shared" si="59"/>
        <v>108</v>
      </c>
      <c r="E84" s="2">
        <f t="shared" si="59"/>
        <v>41</v>
      </c>
      <c r="F84" s="2">
        <f t="shared" si="59"/>
        <v>20</v>
      </c>
      <c r="G84" s="2">
        <f t="shared" si="59"/>
        <v>18</v>
      </c>
      <c r="H84" s="2">
        <f t="shared" si="59"/>
        <v>61</v>
      </c>
      <c r="I84" s="2">
        <f t="shared" si="59"/>
        <v>32</v>
      </c>
      <c r="M84" s="3"/>
      <c r="N84" s="425"/>
      <c r="O84" s="410"/>
      <c r="P84" s="411"/>
      <c r="Q84" s="409"/>
      <c r="R84" s="114"/>
      <c r="S84" s="333"/>
      <c r="T84" s="428"/>
      <c r="W84">
        <f t="shared" si="66"/>
        <v>1</v>
      </c>
      <c r="X84">
        <f t="shared" si="60"/>
        <v>0</v>
      </c>
      <c r="Y84">
        <f t="shared" si="61"/>
        <v>0</v>
      </c>
      <c r="Z84">
        <f t="shared" si="62"/>
        <v>0</v>
      </c>
      <c r="AA84">
        <f t="shared" si="63"/>
        <v>0</v>
      </c>
      <c r="AB84">
        <f t="shared" si="64"/>
        <v>1</v>
      </c>
      <c r="AC84">
        <f t="shared" si="65"/>
        <v>0</v>
      </c>
      <c r="AD84">
        <f t="shared" si="67"/>
        <v>1</v>
      </c>
      <c r="AF84" t="str">
        <f t="shared" si="68"/>
        <v>85</v>
      </c>
    </row>
    <row r="85" spans="1:32" x14ac:dyDescent="0.25">
      <c r="A85" s="1">
        <f t="shared" si="69"/>
        <v>8</v>
      </c>
      <c r="B85" s="2">
        <f t="shared" si="59"/>
        <v>131</v>
      </c>
      <c r="C85" s="2">
        <f t="shared" si="59"/>
        <v>132</v>
      </c>
      <c r="D85" s="2">
        <f t="shared" si="59"/>
        <v>121</v>
      </c>
      <c r="E85" s="2">
        <f t="shared" si="59"/>
        <v>141</v>
      </c>
      <c r="F85" s="2">
        <f t="shared" si="59"/>
        <v>127</v>
      </c>
      <c r="G85" s="2">
        <f t="shared" si="59"/>
        <v>129</v>
      </c>
      <c r="H85" s="2">
        <f t="shared" si="59"/>
        <v>132</v>
      </c>
      <c r="I85" s="2">
        <f t="shared" si="59"/>
        <v>118</v>
      </c>
      <c r="M85" s="318"/>
      <c r="N85" s="429"/>
      <c r="O85" s="430"/>
      <c r="P85" s="223"/>
      <c r="Q85" s="431"/>
      <c r="R85" s="413"/>
      <c r="S85" s="325"/>
      <c r="T85" s="14"/>
      <c r="W85">
        <f t="shared" si="66"/>
        <v>1</v>
      </c>
      <c r="X85">
        <f t="shared" si="60"/>
        <v>0</v>
      </c>
      <c r="Y85">
        <f t="shared" si="61"/>
        <v>1</v>
      </c>
      <c r="Z85">
        <f t="shared" si="62"/>
        <v>0</v>
      </c>
      <c r="AA85">
        <f t="shared" si="63"/>
        <v>1</v>
      </c>
      <c r="AB85">
        <f t="shared" si="64"/>
        <v>1</v>
      </c>
      <c r="AC85">
        <f t="shared" si="65"/>
        <v>0</v>
      </c>
      <c r="AD85">
        <f>IF(B78&gt;I85,1,0)</f>
        <v>1</v>
      </c>
      <c r="AF85" t="str">
        <f t="shared" si="68"/>
        <v>AD</v>
      </c>
    </row>
    <row r="86" spans="1:32" x14ac:dyDescent="0.25">
      <c r="AF86" t="str">
        <f>_xlfn.CONCAT(AF78,AF79,AF80,AF81,AF82,AF83,AF84,AF85)</f>
        <v>ECA8B168484585AD</v>
      </c>
    </row>
    <row r="87" spans="1:32" x14ac:dyDescent="0.25">
      <c r="A87" t="s">
        <v>5</v>
      </c>
      <c r="B87" s="1">
        <v>1</v>
      </c>
      <c r="C87" s="1">
        <f>B87+1</f>
        <v>2</v>
      </c>
      <c r="D87" s="1">
        <f t="shared" ref="D87:I87" si="70">C87+1</f>
        <v>3</v>
      </c>
      <c r="E87" s="1">
        <f t="shared" si="70"/>
        <v>4</v>
      </c>
      <c r="F87" s="1">
        <f t="shared" si="70"/>
        <v>5</v>
      </c>
      <c r="G87" s="1">
        <f t="shared" si="70"/>
        <v>6</v>
      </c>
      <c r="H87" s="1">
        <f t="shared" si="70"/>
        <v>7</v>
      </c>
      <c r="I87" s="1">
        <f t="shared" si="70"/>
        <v>8</v>
      </c>
      <c r="AF87">
        <f>SUM(W88:AD95)</f>
        <v>25</v>
      </c>
    </row>
    <row r="88" spans="1:32" x14ac:dyDescent="0.25">
      <c r="A88" s="1">
        <v>1</v>
      </c>
      <c r="B88" s="2">
        <f>INT((B78+B68+B58)/3)</f>
        <v>157</v>
      </c>
      <c r="C88" s="2">
        <f t="shared" ref="C88:I88" si="71">INT((C78+C68+C58)/3)</f>
        <v>159</v>
      </c>
      <c r="D88" s="2">
        <f t="shared" si="71"/>
        <v>165</v>
      </c>
      <c r="E88" s="2">
        <f t="shared" si="71"/>
        <v>165</v>
      </c>
      <c r="F88" s="2">
        <f t="shared" si="71"/>
        <v>145</v>
      </c>
      <c r="G88" s="2">
        <f t="shared" si="71"/>
        <v>147</v>
      </c>
      <c r="H88" s="2">
        <f t="shared" si="71"/>
        <v>156</v>
      </c>
      <c r="I88" s="2">
        <f t="shared" si="71"/>
        <v>144</v>
      </c>
      <c r="M88" s="432"/>
      <c r="N88" s="4"/>
      <c r="O88" s="4"/>
      <c r="P88" s="34"/>
      <c r="Q88" s="138"/>
      <c r="R88" s="238"/>
      <c r="S88" s="431"/>
      <c r="T88" s="428"/>
      <c r="W88">
        <f>IF(C88&gt;B88,1,0)</f>
        <v>1</v>
      </c>
      <c r="X88">
        <f t="shared" ref="X88:AC88" si="72">IF(D88&gt;C88,1,0)</f>
        <v>1</v>
      </c>
      <c r="Y88">
        <f t="shared" si="72"/>
        <v>0</v>
      </c>
      <c r="Z88">
        <f t="shared" si="72"/>
        <v>0</v>
      </c>
      <c r="AA88">
        <f t="shared" si="72"/>
        <v>1</v>
      </c>
      <c r="AB88">
        <f t="shared" si="72"/>
        <v>1</v>
      </c>
      <c r="AC88">
        <f t="shared" si="72"/>
        <v>0</v>
      </c>
      <c r="AD88">
        <f>IF(B89&gt;I88,1,0)</f>
        <v>0</v>
      </c>
      <c r="AF88" t="str">
        <f>TEXT(BIN2HEX(_xlfn.CONCAT(W88,X88,Y88,Z88,AA88,AB88,AC88,AD88)),"00")</f>
        <v>CC</v>
      </c>
    </row>
    <row r="89" spans="1:32" x14ac:dyDescent="0.25">
      <c r="A89" s="1">
        <f>A88+1</f>
        <v>2</v>
      </c>
      <c r="B89" s="2">
        <f t="shared" ref="B89:I89" si="73">INT((B79+B69+B59)/3)</f>
        <v>127</v>
      </c>
      <c r="C89" s="2">
        <f t="shared" si="73"/>
        <v>131</v>
      </c>
      <c r="D89" s="2">
        <f t="shared" si="73"/>
        <v>131</v>
      </c>
      <c r="E89" s="2">
        <f t="shared" si="73"/>
        <v>143</v>
      </c>
      <c r="F89" s="2">
        <f t="shared" si="73"/>
        <v>127</v>
      </c>
      <c r="G89" s="2">
        <f t="shared" si="73"/>
        <v>131</v>
      </c>
      <c r="H89" s="2">
        <f t="shared" si="73"/>
        <v>122</v>
      </c>
      <c r="I89" s="2">
        <f t="shared" si="73"/>
        <v>106</v>
      </c>
      <c r="M89" s="120"/>
      <c r="N89" s="4"/>
      <c r="O89" s="107"/>
      <c r="P89" s="124"/>
      <c r="Q89" s="46"/>
      <c r="R89" s="87"/>
      <c r="S89" s="313"/>
      <c r="T89" s="417"/>
      <c r="W89">
        <f t="shared" ref="W89:W95" si="74">IF(C89&gt;B89,1,0)</f>
        <v>1</v>
      </c>
      <c r="X89">
        <f t="shared" ref="X89:X95" si="75">IF(D89&gt;C89,1,0)</f>
        <v>0</v>
      </c>
      <c r="Y89">
        <f t="shared" ref="Y89:Y95" si="76">IF(E89&gt;D89,1,0)</f>
        <v>1</v>
      </c>
      <c r="Z89">
        <f t="shared" ref="Z89:Z95" si="77">IF(F89&gt;E89,1,0)</f>
        <v>0</v>
      </c>
      <c r="AA89">
        <f t="shared" ref="AA89:AA95" si="78">IF(G89&gt;F89,1,0)</f>
        <v>1</v>
      </c>
      <c r="AB89">
        <f t="shared" ref="AB89:AB95" si="79">IF(H89&gt;G89,1,0)</f>
        <v>0</v>
      </c>
      <c r="AC89">
        <f t="shared" ref="AC89:AC95" si="80">IF(I89&gt;H89,1,0)</f>
        <v>0</v>
      </c>
      <c r="AD89">
        <f t="shared" ref="AD89:AD94" si="81">IF(B90&gt;I89,1,0)</f>
        <v>1</v>
      </c>
      <c r="AF89" t="str">
        <f t="shared" ref="AF89:AF95" si="82">TEXT(BIN2HEX(_xlfn.CONCAT(W89,X89,Y89,Z89,AA89,AB89,AC89,AD89)),"00")</f>
        <v>A9</v>
      </c>
    </row>
    <row r="90" spans="1:32" x14ac:dyDescent="0.25">
      <c r="A90" s="1">
        <f t="shared" ref="A90:A95" si="83">A89+1</f>
        <v>3</v>
      </c>
      <c r="B90" s="2">
        <f t="shared" ref="B90:I90" si="84">INT((B80+B70+B60)/3)</f>
        <v>126</v>
      </c>
      <c r="C90" s="2">
        <f t="shared" si="84"/>
        <v>130</v>
      </c>
      <c r="D90" s="2">
        <f t="shared" si="84"/>
        <v>121</v>
      </c>
      <c r="E90" s="2">
        <f t="shared" si="84"/>
        <v>142</v>
      </c>
      <c r="F90" s="2">
        <f t="shared" si="84"/>
        <v>155</v>
      </c>
      <c r="G90" s="2">
        <f t="shared" si="84"/>
        <v>125</v>
      </c>
      <c r="H90" s="2">
        <f t="shared" si="84"/>
        <v>117</v>
      </c>
      <c r="I90" s="2">
        <f t="shared" si="84"/>
        <v>111</v>
      </c>
      <c r="M90" s="77"/>
      <c r="N90" s="407"/>
      <c r="O90" s="317"/>
      <c r="P90" s="433"/>
      <c r="Q90" s="51"/>
      <c r="R90" s="409"/>
      <c r="S90" s="75"/>
      <c r="T90" s="233"/>
      <c r="W90">
        <f t="shared" si="74"/>
        <v>1</v>
      </c>
      <c r="X90">
        <f t="shared" si="75"/>
        <v>0</v>
      </c>
      <c r="Y90">
        <f t="shared" si="76"/>
        <v>1</v>
      </c>
      <c r="Z90">
        <f t="shared" si="77"/>
        <v>1</v>
      </c>
      <c r="AA90">
        <f t="shared" si="78"/>
        <v>0</v>
      </c>
      <c r="AB90">
        <f t="shared" si="79"/>
        <v>0</v>
      </c>
      <c r="AC90">
        <f t="shared" si="80"/>
        <v>0</v>
      </c>
      <c r="AD90">
        <f t="shared" si="81"/>
        <v>0</v>
      </c>
      <c r="AF90" t="str">
        <f t="shared" si="82"/>
        <v>B0</v>
      </c>
    </row>
    <row r="91" spans="1:32" x14ac:dyDescent="0.25">
      <c r="A91" s="1">
        <f t="shared" si="83"/>
        <v>4</v>
      </c>
      <c r="B91" s="2">
        <f t="shared" ref="B91:I91" si="85">INT((B81+B71+B61)/3)</f>
        <v>92</v>
      </c>
      <c r="C91" s="2">
        <f t="shared" si="85"/>
        <v>81</v>
      </c>
      <c r="D91" s="2">
        <f t="shared" si="85"/>
        <v>241</v>
      </c>
      <c r="E91" s="2">
        <f t="shared" si="85"/>
        <v>248</v>
      </c>
      <c r="F91" s="2">
        <f t="shared" si="85"/>
        <v>199</v>
      </c>
      <c r="G91" s="2">
        <f t="shared" si="85"/>
        <v>230</v>
      </c>
      <c r="H91" s="2">
        <f t="shared" si="85"/>
        <v>223</v>
      </c>
      <c r="I91" s="2">
        <f t="shared" si="85"/>
        <v>197</v>
      </c>
      <c r="M91" s="107"/>
      <c r="N91" s="6"/>
      <c r="O91" s="9"/>
      <c r="P91" s="317"/>
      <c r="Q91" s="19"/>
      <c r="R91" s="405"/>
      <c r="S91" s="319"/>
      <c r="T91" s="322"/>
      <c r="W91">
        <f t="shared" si="74"/>
        <v>0</v>
      </c>
      <c r="X91">
        <f t="shared" si="75"/>
        <v>1</v>
      </c>
      <c r="Y91">
        <f t="shared" si="76"/>
        <v>1</v>
      </c>
      <c r="Z91">
        <f t="shared" si="77"/>
        <v>0</v>
      </c>
      <c r="AA91">
        <f t="shared" si="78"/>
        <v>1</v>
      </c>
      <c r="AB91">
        <f t="shared" si="79"/>
        <v>0</v>
      </c>
      <c r="AC91">
        <f t="shared" si="80"/>
        <v>0</v>
      </c>
      <c r="AD91">
        <f t="shared" si="81"/>
        <v>0</v>
      </c>
      <c r="AF91" t="str">
        <f t="shared" si="82"/>
        <v>68</v>
      </c>
    </row>
    <row r="92" spans="1:32" x14ac:dyDescent="0.25">
      <c r="A92" s="1">
        <f t="shared" si="83"/>
        <v>5</v>
      </c>
      <c r="B92" s="2">
        <f t="shared" ref="B92:I92" si="86">INT((B82+B72+B62)/3)</f>
        <v>100</v>
      </c>
      <c r="C92" s="2">
        <f t="shared" si="86"/>
        <v>54</v>
      </c>
      <c r="D92" s="2">
        <f t="shared" si="86"/>
        <v>236</v>
      </c>
      <c r="E92" s="2">
        <f t="shared" si="86"/>
        <v>175</v>
      </c>
      <c r="F92" s="2">
        <f t="shared" si="86"/>
        <v>84</v>
      </c>
      <c r="G92" s="2">
        <f t="shared" si="86"/>
        <v>196</v>
      </c>
      <c r="H92" s="2">
        <f t="shared" si="86"/>
        <v>111</v>
      </c>
      <c r="I92" s="2">
        <f t="shared" si="86"/>
        <v>84</v>
      </c>
      <c r="M92" s="336"/>
      <c r="N92" s="403"/>
      <c r="O92" s="51"/>
      <c r="P92" s="311"/>
      <c r="Q92" s="137"/>
      <c r="R92" s="84"/>
      <c r="S92" s="137"/>
      <c r="T92" s="238"/>
      <c r="W92">
        <f t="shared" si="74"/>
        <v>0</v>
      </c>
      <c r="X92">
        <f t="shared" si="75"/>
        <v>1</v>
      </c>
      <c r="Y92">
        <f t="shared" si="76"/>
        <v>0</v>
      </c>
      <c r="Z92">
        <f t="shared" si="77"/>
        <v>0</v>
      </c>
      <c r="AA92">
        <f t="shared" si="78"/>
        <v>1</v>
      </c>
      <c r="AB92">
        <f t="shared" si="79"/>
        <v>0</v>
      </c>
      <c r="AC92">
        <f t="shared" si="80"/>
        <v>0</v>
      </c>
      <c r="AD92">
        <f t="shared" si="81"/>
        <v>0</v>
      </c>
      <c r="AF92" t="str">
        <f t="shared" si="82"/>
        <v>48</v>
      </c>
    </row>
    <row r="93" spans="1:32" x14ac:dyDescent="0.25">
      <c r="A93" s="1">
        <f t="shared" si="83"/>
        <v>6</v>
      </c>
      <c r="B93" s="2">
        <f t="shared" ref="B93:I93" si="87">INT((B83+B73+B63)/3)</f>
        <v>75</v>
      </c>
      <c r="C93" s="2">
        <f t="shared" si="87"/>
        <v>32</v>
      </c>
      <c r="D93" s="2">
        <f t="shared" si="87"/>
        <v>249</v>
      </c>
      <c r="E93" s="2">
        <f t="shared" si="87"/>
        <v>247</v>
      </c>
      <c r="F93" s="2">
        <f t="shared" si="87"/>
        <v>210</v>
      </c>
      <c r="G93" s="2">
        <f t="shared" si="87"/>
        <v>193</v>
      </c>
      <c r="H93" s="2">
        <f t="shared" si="87"/>
        <v>241</v>
      </c>
      <c r="I93" s="2">
        <f t="shared" si="87"/>
        <v>54</v>
      </c>
      <c r="M93" s="10"/>
      <c r="N93" s="45"/>
      <c r="O93" s="98"/>
      <c r="P93" s="56"/>
      <c r="Q93" s="221"/>
      <c r="R93" s="110"/>
      <c r="S93" s="410"/>
      <c r="T93" s="76"/>
      <c r="W93">
        <f t="shared" si="74"/>
        <v>0</v>
      </c>
      <c r="X93">
        <f t="shared" si="75"/>
        <v>1</v>
      </c>
      <c r="Y93">
        <f t="shared" si="76"/>
        <v>0</v>
      </c>
      <c r="Z93">
        <f t="shared" si="77"/>
        <v>0</v>
      </c>
      <c r="AA93">
        <f t="shared" si="78"/>
        <v>0</v>
      </c>
      <c r="AB93">
        <f t="shared" si="79"/>
        <v>1</v>
      </c>
      <c r="AC93">
        <f t="shared" si="80"/>
        <v>0</v>
      </c>
      <c r="AD93">
        <f t="shared" si="81"/>
        <v>1</v>
      </c>
      <c r="AF93" t="str">
        <f t="shared" si="82"/>
        <v>45</v>
      </c>
    </row>
    <row r="94" spans="1:32" x14ac:dyDescent="0.25">
      <c r="A94" s="1">
        <f t="shared" si="83"/>
        <v>7</v>
      </c>
      <c r="B94" s="2">
        <f t="shared" ref="B94:I94" si="88">INT((B84+B74+B64)/3)</f>
        <v>113</v>
      </c>
      <c r="C94" s="2">
        <f t="shared" si="88"/>
        <v>127</v>
      </c>
      <c r="D94" s="2">
        <f t="shared" si="88"/>
        <v>118</v>
      </c>
      <c r="E94" s="2">
        <f t="shared" si="88"/>
        <v>45</v>
      </c>
      <c r="F94" s="2">
        <f t="shared" si="88"/>
        <v>20</v>
      </c>
      <c r="G94" s="2">
        <f t="shared" si="88"/>
        <v>16</v>
      </c>
      <c r="H94" s="2">
        <f t="shared" si="88"/>
        <v>61</v>
      </c>
      <c r="I94" s="2">
        <f t="shared" si="88"/>
        <v>32</v>
      </c>
      <c r="M94" s="217"/>
      <c r="N94" s="434"/>
      <c r="O94" s="82"/>
      <c r="P94" s="11"/>
      <c r="Q94" s="214"/>
      <c r="R94" s="214"/>
      <c r="S94" s="231"/>
      <c r="T94" s="48"/>
      <c r="W94">
        <f t="shared" si="74"/>
        <v>1</v>
      </c>
      <c r="X94">
        <f t="shared" si="75"/>
        <v>0</v>
      </c>
      <c r="Y94">
        <f t="shared" si="76"/>
        <v>0</v>
      </c>
      <c r="Z94">
        <f t="shared" si="77"/>
        <v>0</v>
      </c>
      <c r="AA94">
        <f t="shared" si="78"/>
        <v>0</v>
      </c>
      <c r="AB94">
        <f t="shared" si="79"/>
        <v>1</v>
      </c>
      <c r="AC94">
        <f t="shared" si="80"/>
        <v>0</v>
      </c>
      <c r="AD94">
        <f t="shared" si="81"/>
        <v>1</v>
      </c>
      <c r="AF94" t="str">
        <f t="shared" si="82"/>
        <v>85</v>
      </c>
    </row>
    <row r="95" spans="1:32" x14ac:dyDescent="0.25">
      <c r="A95" s="1">
        <f t="shared" si="83"/>
        <v>8</v>
      </c>
      <c r="B95" s="2">
        <f t="shared" ref="B95:I95" si="89">INT((B85+B75+B65)/3)</f>
        <v>123</v>
      </c>
      <c r="C95" s="2">
        <f t="shared" si="89"/>
        <v>123</v>
      </c>
      <c r="D95" s="2">
        <f t="shared" si="89"/>
        <v>117</v>
      </c>
      <c r="E95" s="2">
        <f t="shared" si="89"/>
        <v>134</v>
      </c>
      <c r="F95" s="2">
        <f t="shared" si="89"/>
        <v>122</v>
      </c>
      <c r="G95" s="2">
        <f t="shared" si="89"/>
        <v>122</v>
      </c>
      <c r="H95" s="2">
        <f t="shared" si="89"/>
        <v>124</v>
      </c>
      <c r="I95" s="2">
        <f t="shared" si="89"/>
        <v>112</v>
      </c>
      <c r="M95" s="21"/>
      <c r="N95" s="45"/>
      <c r="O95" s="111"/>
      <c r="P95" s="69"/>
      <c r="Q95" s="320"/>
      <c r="R95" s="111"/>
      <c r="S95" s="327"/>
      <c r="T95" s="20"/>
      <c r="W95">
        <f t="shared" si="74"/>
        <v>0</v>
      </c>
      <c r="X95">
        <f t="shared" si="75"/>
        <v>0</v>
      </c>
      <c r="Y95">
        <f t="shared" si="76"/>
        <v>1</v>
      </c>
      <c r="Z95">
        <f t="shared" si="77"/>
        <v>0</v>
      </c>
      <c r="AA95">
        <f t="shared" si="78"/>
        <v>0</v>
      </c>
      <c r="AB95">
        <f t="shared" si="79"/>
        <v>1</v>
      </c>
      <c r="AC95">
        <f t="shared" si="80"/>
        <v>0</v>
      </c>
      <c r="AD95">
        <f>IF(B88&gt;I95,1,0)</f>
        <v>1</v>
      </c>
      <c r="AF95" t="str">
        <f t="shared" si="82"/>
        <v>25</v>
      </c>
    </row>
    <row r="96" spans="1:32" x14ac:dyDescent="0.25">
      <c r="AF96" t="str">
        <f>_xlfn.CONCAT(AF88,AF89,AF90,AF91,AF92,AF93,AF94,AF95)</f>
        <v>CCA9B06848458525</v>
      </c>
    </row>
  </sheetData>
  <mergeCells count="2">
    <mergeCell ref="B14:C14"/>
    <mergeCell ref="B15:C15"/>
  </mergeCells>
  <conditionalFormatting sqref="M18:T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D886F-ACB8-4FF3-9F29-65A9EDF58E07}">
  <sheetPr codeName="Sheet2"/>
  <dimension ref="A2:FT89"/>
  <sheetViews>
    <sheetView workbookViewId="0"/>
  </sheetViews>
  <sheetFormatPr defaultColWidth="2.85546875" defaultRowHeight="15" x14ac:dyDescent="0.25"/>
  <sheetData>
    <row r="2" spans="1:176" x14ac:dyDescent="0.25">
      <c r="A2" t="s">
        <v>36</v>
      </c>
      <c r="K2">
        <f>K22+K32+K42</f>
        <v>19</v>
      </c>
      <c r="AA2" t="s">
        <v>41</v>
      </c>
      <c r="AK2">
        <f>AK22+AK32+AK42</f>
        <v>17</v>
      </c>
      <c r="BA2" t="s">
        <v>38</v>
      </c>
      <c r="BK2">
        <f>BK22+BK32+BK42</f>
        <v>17</v>
      </c>
      <c r="CA2" t="s">
        <v>80</v>
      </c>
      <c r="CK2">
        <f>CK22+CK32+CK42</f>
        <v>23</v>
      </c>
      <c r="DA2" t="s">
        <v>97</v>
      </c>
      <c r="DK2">
        <f>DK22+DK32+DK42</f>
        <v>31</v>
      </c>
      <c r="EA2" t="s">
        <v>121</v>
      </c>
      <c r="EK2">
        <f>EK22+EK32+EK42</f>
        <v>21</v>
      </c>
      <c r="FA2" t="s">
        <v>122</v>
      </c>
      <c r="FK2">
        <f>FK22+FK32+FK42</f>
        <v>19</v>
      </c>
    </row>
    <row r="4" spans="1:176" x14ac:dyDescent="0.25">
      <c r="A4" s="147"/>
      <c r="B4" s="148"/>
      <c r="C4" s="149"/>
      <c r="D4" s="150"/>
      <c r="E4" s="151"/>
      <c r="F4" s="152"/>
      <c r="G4" s="153"/>
      <c r="H4" s="154"/>
      <c r="AA4" s="339"/>
      <c r="AB4" s="340"/>
      <c r="AC4" s="341"/>
      <c r="AD4" s="342"/>
      <c r="AE4" s="343"/>
      <c r="AF4" s="344"/>
      <c r="AG4" s="345"/>
      <c r="AH4" s="346"/>
      <c r="BA4" s="245"/>
      <c r="BB4" s="246"/>
      <c r="BC4" s="247"/>
      <c r="BD4" s="248"/>
      <c r="BE4" s="249"/>
      <c r="BF4" s="250"/>
      <c r="BG4" s="251"/>
      <c r="BH4" s="252"/>
      <c r="CA4" s="435"/>
      <c r="CB4" s="436"/>
      <c r="CC4" s="437"/>
      <c r="CD4" s="438"/>
      <c r="CE4" s="439"/>
      <c r="CF4" s="440"/>
      <c r="CG4" s="441"/>
      <c r="CH4" s="442"/>
      <c r="DA4" s="499"/>
      <c r="DB4" s="500"/>
      <c r="DC4" s="501"/>
      <c r="DD4" s="502"/>
      <c r="DE4" s="503"/>
      <c r="DF4" s="504"/>
      <c r="DG4" s="505"/>
      <c r="DH4" s="506"/>
      <c r="EA4" s="569"/>
      <c r="EB4" s="570"/>
      <c r="EC4" s="571"/>
      <c r="ED4" s="572"/>
      <c r="EE4" s="573"/>
      <c r="EF4" s="574"/>
      <c r="EG4" s="575"/>
      <c r="EH4" s="576"/>
      <c r="FA4" s="635"/>
      <c r="FB4" s="636"/>
      <c r="FC4" s="637"/>
      <c r="FD4" s="638"/>
      <c r="FE4" s="639"/>
      <c r="FF4" s="640"/>
      <c r="FG4" s="641"/>
      <c r="FH4" s="642"/>
    </row>
    <row r="5" spans="1:176" x14ac:dyDescent="0.25">
      <c r="A5" s="155"/>
      <c r="B5" s="156"/>
      <c r="C5" s="157"/>
      <c r="D5" s="158"/>
      <c r="E5" s="159"/>
      <c r="F5" s="160"/>
      <c r="G5" s="161"/>
      <c r="H5" s="162"/>
      <c r="AA5" s="347"/>
      <c r="AB5" s="348"/>
      <c r="AC5" s="349"/>
      <c r="AD5" s="350"/>
      <c r="AE5" s="351"/>
      <c r="AF5" s="352"/>
      <c r="AG5" s="353"/>
      <c r="AH5" s="354"/>
      <c r="BA5" s="253"/>
      <c r="BB5" s="254"/>
      <c r="BC5" s="255"/>
      <c r="BD5" s="256"/>
      <c r="BE5" s="257"/>
      <c r="BF5" s="258"/>
      <c r="BG5" s="259"/>
      <c r="BH5" s="260"/>
      <c r="CA5" s="443"/>
      <c r="CB5" s="444"/>
      <c r="CC5" s="445"/>
      <c r="CD5" s="446"/>
      <c r="CE5" s="447"/>
      <c r="CF5" s="448"/>
      <c r="CG5" s="449"/>
      <c r="CH5" s="450"/>
      <c r="DA5" s="507"/>
      <c r="DB5" s="508"/>
      <c r="DC5" s="509"/>
      <c r="DD5" s="510"/>
      <c r="DE5" s="511"/>
      <c r="DF5" s="512"/>
      <c r="DG5" s="513"/>
      <c r="DH5" s="514"/>
      <c r="EA5" s="577"/>
      <c r="EB5" s="578"/>
      <c r="EC5" s="579"/>
      <c r="ED5" s="580"/>
      <c r="EE5" s="581"/>
      <c r="EF5" s="582"/>
      <c r="EG5" s="583"/>
      <c r="EH5" s="584"/>
      <c r="FA5" s="643"/>
      <c r="FB5" s="644"/>
      <c r="FC5" s="645"/>
      <c r="FD5" s="646"/>
      <c r="FE5" s="647"/>
      <c r="FF5" s="648"/>
      <c r="FG5" s="649"/>
      <c r="FH5" s="650"/>
    </row>
    <row r="6" spans="1:176" x14ac:dyDescent="0.25">
      <c r="A6" s="163"/>
      <c r="B6" s="164"/>
      <c r="C6" s="165"/>
      <c r="D6" s="166"/>
      <c r="E6" s="167"/>
      <c r="F6" s="168"/>
      <c r="G6" s="169"/>
      <c r="H6" s="170"/>
      <c r="AA6" s="355"/>
      <c r="AB6" s="356"/>
      <c r="AC6" s="357"/>
      <c r="AD6" s="358"/>
      <c r="AE6" s="359"/>
      <c r="AF6" s="360"/>
      <c r="AG6" s="361"/>
      <c r="AH6" s="362"/>
      <c r="BA6" s="261"/>
      <c r="BB6" s="262"/>
      <c r="BC6" s="263"/>
      <c r="BD6" s="264"/>
      <c r="BE6" s="265"/>
      <c r="BF6" s="266"/>
      <c r="BG6" s="267"/>
      <c r="BH6" s="268"/>
      <c r="CA6" s="451"/>
      <c r="CB6" s="452"/>
      <c r="CC6" s="453"/>
      <c r="CD6" s="454"/>
      <c r="CE6" s="455"/>
      <c r="CF6" s="456"/>
      <c r="CG6" s="457"/>
      <c r="CH6" s="458"/>
      <c r="DA6" s="515"/>
      <c r="DB6" s="516"/>
      <c r="DC6" s="517"/>
      <c r="DD6" s="518"/>
      <c r="DE6" s="519"/>
      <c r="DF6" s="520"/>
      <c r="DG6" s="521"/>
      <c r="DH6" s="522"/>
      <c r="EA6" s="585"/>
      <c r="EB6" s="586"/>
      <c r="EC6" s="587"/>
      <c r="ED6" s="588"/>
      <c r="EE6" s="589"/>
      <c r="EF6" s="590"/>
      <c r="EG6" s="591"/>
      <c r="EH6" s="592"/>
      <c r="FA6" s="651"/>
      <c r="FB6" s="652"/>
      <c r="FC6" s="653"/>
      <c r="FD6" s="654"/>
      <c r="FE6" s="655"/>
      <c r="FF6" s="656"/>
      <c r="FG6" s="657"/>
      <c r="FH6" s="658"/>
    </row>
    <row r="7" spans="1:176" x14ac:dyDescent="0.25">
      <c r="A7" s="171"/>
      <c r="B7" s="172"/>
      <c r="C7" s="173"/>
      <c r="D7" s="174"/>
      <c r="E7" s="175"/>
      <c r="F7" s="176"/>
      <c r="G7" s="177"/>
      <c r="H7" s="178"/>
      <c r="AA7" s="363"/>
      <c r="AB7" s="364"/>
      <c r="AC7" s="365"/>
      <c r="AD7" s="366"/>
      <c r="AE7" s="367"/>
      <c r="AF7" s="368"/>
      <c r="AG7" s="369"/>
      <c r="AH7" s="370"/>
      <c r="BA7" s="269"/>
      <c r="BB7" s="270"/>
      <c r="BC7" s="271"/>
      <c r="BD7" s="272"/>
      <c r="BE7" s="273"/>
      <c r="BF7" s="89"/>
      <c r="BG7" s="274"/>
      <c r="BH7" s="275"/>
      <c r="CA7" s="459"/>
      <c r="CB7" s="460"/>
      <c r="CC7" s="461"/>
      <c r="CD7" s="462"/>
      <c r="CE7" s="463"/>
      <c r="CF7" s="464"/>
      <c r="CG7" s="465"/>
      <c r="CH7" s="466"/>
      <c r="DA7" s="523"/>
      <c r="DB7" s="524"/>
      <c r="DC7" s="525"/>
      <c r="DD7" s="526"/>
      <c r="DE7" s="527"/>
      <c r="DF7" s="528"/>
      <c r="DG7" s="529"/>
      <c r="DH7" s="530"/>
      <c r="EA7" s="593"/>
      <c r="EB7" s="594"/>
      <c r="EC7" s="595"/>
      <c r="ED7" s="596"/>
      <c r="EE7" s="597"/>
      <c r="EF7" s="598"/>
      <c r="EG7" s="598"/>
      <c r="EH7" s="599"/>
      <c r="FA7" s="659"/>
      <c r="FB7" s="660"/>
      <c r="FC7" s="661"/>
      <c r="FD7" s="662"/>
      <c r="FE7" s="663"/>
      <c r="FF7" s="664"/>
      <c r="FG7" s="665"/>
      <c r="FH7" s="666"/>
    </row>
    <row r="8" spans="1:176" x14ac:dyDescent="0.25">
      <c r="A8" s="179"/>
      <c r="B8" s="180"/>
      <c r="C8" s="181"/>
      <c r="D8" s="182"/>
      <c r="E8" s="183"/>
      <c r="F8" s="184"/>
      <c r="G8" s="185"/>
      <c r="H8" s="186"/>
      <c r="AA8" s="371"/>
      <c r="AB8" s="372"/>
      <c r="AC8" s="373"/>
      <c r="AD8" s="374"/>
      <c r="AE8" s="375"/>
      <c r="AF8" s="376"/>
      <c r="AG8" s="377"/>
      <c r="AH8" s="378"/>
      <c r="BA8" s="276"/>
      <c r="BB8" s="277"/>
      <c r="BC8" s="278"/>
      <c r="BD8" s="279"/>
      <c r="BE8" s="280"/>
      <c r="BF8" s="281"/>
      <c r="BG8" s="282"/>
      <c r="BH8" s="283"/>
      <c r="CA8" s="467"/>
      <c r="CB8" s="468"/>
      <c r="CC8" s="469"/>
      <c r="CD8" s="470"/>
      <c r="CE8" s="471"/>
      <c r="CF8" s="472"/>
      <c r="CG8" s="473"/>
      <c r="CH8" s="474"/>
      <c r="DA8" s="531"/>
      <c r="DB8" s="532"/>
      <c r="DC8" s="533"/>
      <c r="DD8" s="534"/>
      <c r="DE8" s="535"/>
      <c r="DF8" s="536"/>
      <c r="DG8" s="537"/>
      <c r="DH8" s="538"/>
      <c r="EA8" s="600"/>
      <c r="EB8" s="601"/>
      <c r="EC8" s="602"/>
      <c r="ED8" s="603"/>
      <c r="EE8" s="604"/>
      <c r="EF8" s="605"/>
      <c r="EG8" s="606"/>
      <c r="EH8" s="607"/>
      <c r="FA8" s="667"/>
      <c r="FB8" s="668"/>
      <c r="FC8" s="669"/>
      <c r="FD8" s="670"/>
      <c r="FE8" s="671"/>
      <c r="FF8" s="672"/>
      <c r="FG8" s="673"/>
      <c r="FH8" s="674"/>
    </row>
    <row r="9" spans="1:176" x14ac:dyDescent="0.25">
      <c r="A9" s="187"/>
      <c r="B9" s="188"/>
      <c r="C9" s="189"/>
      <c r="D9" s="190"/>
      <c r="E9" s="191"/>
      <c r="F9" s="192"/>
      <c r="G9" s="193"/>
      <c r="H9" s="194"/>
      <c r="AA9" s="379"/>
      <c r="AB9" s="380"/>
      <c r="AC9" s="381"/>
      <c r="AD9" s="382"/>
      <c r="AE9" s="383"/>
      <c r="AF9" s="384"/>
      <c r="AG9" s="385"/>
      <c r="AH9" s="386"/>
      <c r="BA9" s="284"/>
      <c r="BB9" s="285"/>
      <c r="BC9" s="286"/>
      <c r="BD9" s="287"/>
      <c r="BE9" s="288"/>
      <c r="BF9" s="289"/>
      <c r="BG9" s="290"/>
      <c r="BH9" s="291"/>
      <c r="CA9" s="475"/>
      <c r="CB9" s="476"/>
      <c r="CC9" s="477"/>
      <c r="CD9" s="478"/>
      <c r="CE9" s="479"/>
      <c r="CF9" s="480"/>
      <c r="CG9" s="481"/>
      <c r="CH9" s="482"/>
      <c r="DA9" s="539"/>
      <c r="DB9" s="540"/>
      <c r="DC9" s="541"/>
      <c r="DD9" s="542"/>
      <c r="DE9" s="543"/>
      <c r="DF9" s="544"/>
      <c r="DG9" s="545"/>
      <c r="DH9" s="546"/>
      <c r="EA9" s="608"/>
      <c r="EB9" s="609"/>
      <c r="EC9" s="610"/>
      <c r="ED9" s="611"/>
      <c r="EE9" s="612"/>
      <c r="EF9" s="613"/>
      <c r="EG9" s="614"/>
      <c r="EH9" s="615"/>
      <c r="FA9" s="675"/>
      <c r="FB9" s="676"/>
      <c r="FC9" s="677"/>
      <c r="FD9" s="678"/>
      <c r="FE9" s="679"/>
      <c r="FF9" s="680"/>
      <c r="FG9" s="681"/>
      <c r="FH9" s="682"/>
    </row>
    <row r="10" spans="1:176" x14ac:dyDescent="0.25">
      <c r="A10" s="195"/>
      <c r="B10" s="196"/>
      <c r="C10" s="197"/>
      <c r="D10" s="198"/>
      <c r="E10" s="199"/>
      <c r="F10" s="200"/>
      <c r="G10" s="146"/>
      <c r="H10" s="201"/>
      <c r="AA10" s="387"/>
      <c r="AB10" s="388"/>
      <c r="AC10" s="389"/>
      <c r="AD10" s="390"/>
      <c r="AE10" s="391"/>
      <c r="AF10" s="392"/>
      <c r="AG10" s="393"/>
      <c r="AH10" s="394"/>
      <c r="BA10" s="292"/>
      <c r="BB10" s="293"/>
      <c r="BC10" s="294"/>
      <c r="BD10" s="295"/>
      <c r="BE10" s="296"/>
      <c r="BF10" s="297"/>
      <c r="BG10" s="298"/>
      <c r="BH10" s="218"/>
      <c r="CA10" s="483"/>
      <c r="CB10" s="484"/>
      <c r="CC10" s="485"/>
      <c r="CD10" s="486"/>
      <c r="CE10" s="487"/>
      <c r="CF10" s="488"/>
      <c r="CG10" s="489"/>
      <c r="CH10" s="490"/>
      <c r="DA10" s="547"/>
      <c r="DB10" s="548"/>
      <c r="DC10" s="549"/>
      <c r="DD10" s="550"/>
      <c r="DE10" s="551"/>
      <c r="DF10" s="552"/>
      <c r="DG10" s="553"/>
      <c r="DH10" s="554"/>
      <c r="EA10" s="616"/>
      <c r="EB10" s="617"/>
      <c r="EC10" s="618"/>
      <c r="ED10" s="619"/>
      <c r="EE10" s="620"/>
      <c r="EF10" s="621"/>
      <c r="EG10" s="622"/>
      <c r="EH10" s="623"/>
      <c r="FA10" s="683"/>
      <c r="FB10" s="684"/>
      <c r="FC10" s="685"/>
      <c r="FD10" s="686"/>
      <c r="FE10" s="687"/>
      <c r="FF10" s="688"/>
      <c r="FG10" s="689"/>
      <c r="FH10" s="690"/>
    </row>
    <row r="11" spans="1:176" x14ac:dyDescent="0.25">
      <c r="A11" s="202"/>
      <c r="B11" s="203"/>
      <c r="C11" s="204"/>
      <c r="D11" s="205"/>
      <c r="E11" s="206"/>
      <c r="F11" s="207"/>
      <c r="G11" s="208"/>
      <c r="H11" s="209"/>
      <c r="AA11" s="395"/>
      <c r="AB11" s="396"/>
      <c r="AC11" s="397"/>
      <c r="AD11" s="398"/>
      <c r="AE11" s="399"/>
      <c r="AF11" s="400"/>
      <c r="AG11" s="401"/>
      <c r="AH11" s="402"/>
      <c r="BA11" s="207"/>
      <c r="BB11" s="299"/>
      <c r="BC11" s="300"/>
      <c r="BD11" s="301"/>
      <c r="BE11" s="302"/>
      <c r="BF11" s="303"/>
      <c r="BG11" s="304"/>
      <c r="BH11" s="305"/>
      <c r="CA11" s="491"/>
      <c r="CB11" s="492"/>
      <c r="CC11" s="493"/>
      <c r="CD11" s="494"/>
      <c r="CE11" s="495"/>
      <c r="CF11" s="496"/>
      <c r="CG11" s="497"/>
      <c r="CH11" s="498"/>
      <c r="DA11" s="555"/>
      <c r="DB11" s="556"/>
      <c r="DC11" s="557"/>
      <c r="DD11" s="558"/>
      <c r="DE11" s="559"/>
      <c r="DF11" s="560"/>
      <c r="DG11" s="561"/>
      <c r="DH11" s="562"/>
      <c r="EA11" s="624"/>
      <c r="EB11" s="625"/>
      <c r="EC11" s="626"/>
      <c r="ED11" s="627"/>
      <c r="EE11" s="628"/>
      <c r="EF11" s="629"/>
      <c r="EG11" s="630"/>
      <c r="EH11" s="631"/>
      <c r="FA11" s="691"/>
      <c r="FB11" s="692"/>
      <c r="FC11" s="693"/>
      <c r="FD11" s="694"/>
      <c r="FE11" s="695"/>
      <c r="FF11" s="696"/>
      <c r="FG11" s="697"/>
      <c r="FH11" s="698"/>
    </row>
    <row r="13" spans="1:176" x14ac:dyDescent="0.25">
      <c r="T13">
        <v>25</v>
      </c>
      <c r="AT13">
        <v>29</v>
      </c>
      <c r="BT13">
        <v>27</v>
      </c>
      <c r="CT13">
        <v>28</v>
      </c>
      <c r="DT13">
        <v>30</v>
      </c>
      <c r="ET13">
        <v>29</v>
      </c>
      <c r="FT13">
        <v>33</v>
      </c>
    </row>
    <row r="14" spans="1:176" x14ac:dyDescent="0.25">
      <c r="A14" s="4"/>
      <c r="B14" s="6"/>
      <c r="C14" s="8"/>
      <c r="D14" s="10"/>
      <c r="E14" s="12"/>
      <c r="F14" s="14"/>
      <c r="G14" s="16"/>
      <c r="H14" s="18"/>
      <c r="K14">
        <v>1</v>
      </c>
      <c r="L14">
        <v>1</v>
      </c>
      <c r="M14">
        <v>0</v>
      </c>
      <c r="N14">
        <v>0</v>
      </c>
      <c r="O14">
        <v>0</v>
      </c>
      <c r="P14">
        <v>1</v>
      </c>
      <c r="Q14">
        <v>1</v>
      </c>
      <c r="R14">
        <v>0</v>
      </c>
      <c r="T14" t="s">
        <v>8</v>
      </c>
      <c r="AA14" s="12"/>
      <c r="AB14" s="62"/>
      <c r="AC14" s="20"/>
      <c r="AD14" s="129"/>
      <c r="AE14" s="50"/>
      <c r="AF14" s="21"/>
      <c r="AG14" s="135"/>
      <c r="AH14" s="19"/>
      <c r="AK14">
        <v>0</v>
      </c>
      <c r="AL14">
        <v>1</v>
      </c>
      <c r="AM14">
        <v>0</v>
      </c>
      <c r="AN14">
        <v>1</v>
      </c>
      <c r="AO14">
        <v>0</v>
      </c>
      <c r="AP14">
        <v>0</v>
      </c>
      <c r="AQ14">
        <v>1</v>
      </c>
      <c r="AR14">
        <v>0</v>
      </c>
      <c r="AT14" t="s">
        <v>42</v>
      </c>
      <c r="BA14" s="98"/>
      <c r="BB14" s="306"/>
      <c r="BC14" s="139"/>
      <c r="BD14" s="131"/>
      <c r="BE14" s="307"/>
      <c r="BF14" s="307"/>
      <c r="BG14" s="308"/>
      <c r="BH14" s="14"/>
      <c r="BK14">
        <v>1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1</v>
      </c>
      <c r="BR14">
        <v>0</v>
      </c>
      <c r="BT14" t="s">
        <v>62</v>
      </c>
      <c r="CA14" s="221"/>
      <c r="CB14" s="105"/>
      <c r="CC14" s="86"/>
      <c r="CD14" s="146"/>
      <c r="CE14" s="228"/>
      <c r="CF14" s="335"/>
      <c r="CG14" s="75"/>
      <c r="CH14" s="228"/>
      <c r="CK14">
        <v>0</v>
      </c>
      <c r="CL14">
        <v>0</v>
      </c>
      <c r="CM14">
        <v>0</v>
      </c>
      <c r="CN14">
        <v>0</v>
      </c>
      <c r="CO14">
        <v>0</v>
      </c>
      <c r="CP14">
        <v>1</v>
      </c>
      <c r="CQ14">
        <v>0</v>
      </c>
      <c r="CR14">
        <v>1</v>
      </c>
      <c r="CT14" t="s">
        <v>81</v>
      </c>
      <c r="DA14" s="242"/>
      <c r="DB14" s="82"/>
      <c r="DC14" s="406"/>
      <c r="DD14" s="229"/>
      <c r="DE14" s="217"/>
      <c r="DF14" s="404"/>
      <c r="DG14" s="233"/>
      <c r="DH14" s="58"/>
      <c r="DK14">
        <v>0</v>
      </c>
      <c r="DL14">
        <v>0</v>
      </c>
      <c r="DM14">
        <v>0</v>
      </c>
      <c r="DN14">
        <v>0</v>
      </c>
      <c r="DO14">
        <v>1</v>
      </c>
      <c r="DP14">
        <v>1</v>
      </c>
      <c r="DQ14">
        <v>0</v>
      </c>
      <c r="DR14">
        <v>1</v>
      </c>
      <c r="DT14" t="s">
        <v>98</v>
      </c>
      <c r="EA14" s="632"/>
      <c r="EB14" s="210"/>
      <c r="EC14" s="67"/>
      <c r="ED14" s="98"/>
      <c r="EE14" s="22"/>
      <c r="EF14" s="77"/>
      <c r="EG14" s="27"/>
      <c r="EH14" s="20"/>
      <c r="EK14">
        <v>1</v>
      </c>
      <c r="EL14">
        <v>0</v>
      </c>
      <c r="EM14">
        <v>1</v>
      </c>
      <c r="EN14">
        <v>1</v>
      </c>
      <c r="EO14">
        <v>1</v>
      </c>
      <c r="EP14">
        <v>0</v>
      </c>
      <c r="EQ14">
        <v>0</v>
      </c>
      <c r="ER14">
        <v>0</v>
      </c>
      <c r="ET14" t="s">
        <v>123</v>
      </c>
      <c r="FA14" s="119"/>
      <c r="FB14" s="48"/>
      <c r="FC14" s="136"/>
      <c r="FD14" s="432"/>
      <c r="FE14" s="241"/>
      <c r="FF14" s="216"/>
      <c r="FG14" s="317"/>
      <c r="FH14" s="101"/>
      <c r="FK14">
        <v>1</v>
      </c>
      <c r="FL14">
        <v>0</v>
      </c>
      <c r="FM14">
        <v>1</v>
      </c>
      <c r="FN14">
        <v>1</v>
      </c>
      <c r="FO14">
        <v>1</v>
      </c>
      <c r="FP14">
        <v>0</v>
      </c>
      <c r="FQ14">
        <v>0</v>
      </c>
      <c r="FR14">
        <v>0</v>
      </c>
      <c r="FT14" t="s">
        <v>123</v>
      </c>
    </row>
    <row r="15" spans="1:176" x14ac:dyDescent="0.25">
      <c r="A15" s="19"/>
      <c r="B15" s="21"/>
      <c r="C15" s="21"/>
      <c r="D15" s="4"/>
      <c r="E15" s="24"/>
      <c r="F15" s="12"/>
      <c r="G15" s="26"/>
      <c r="H15" s="28"/>
      <c r="K15">
        <v>0</v>
      </c>
      <c r="L15">
        <v>1</v>
      </c>
      <c r="M15">
        <v>0</v>
      </c>
      <c r="N15">
        <v>1</v>
      </c>
      <c r="O15">
        <v>0</v>
      </c>
      <c r="P15">
        <v>1</v>
      </c>
      <c r="Q15">
        <v>0</v>
      </c>
      <c r="R15">
        <v>0</v>
      </c>
      <c r="T15" t="s">
        <v>9</v>
      </c>
      <c r="AA15" s="12"/>
      <c r="AB15" s="12"/>
      <c r="AC15" s="62"/>
      <c r="AD15" s="129"/>
      <c r="AE15" s="14"/>
      <c r="AF15" s="30"/>
      <c r="AG15" s="109"/>
      <c r="AH15" s="42"/>
      <c r="AK15">
        <v>1</v>
      </c>
      <c r="AL15">
        <v>0</v>
      </c>
      <c r="AM15">
        <v>1</v>
      </c>
      <c r="AN15">
        <v>1</v>
      </c>
      <c r="AO15">
        <v>0</v>
      </c>
      <c r="AP15">
        <v>0</v>
      </c>
      <c r="AQ15">
        <v>0</v>
      </c>
      <c r="AR15">
        <v>0</v>
      </c>
      <c r="AT15" t="s">
        <v>43</v>
      </c>
      <c r="BA15" s="18"/>
      <c r="BB15" s="18"/>
      <c r="BC15" s="101"/>
      <c r="BD15" s="63"/>
      <c r="BE15" s="19"/>
      <c r="BF15" s="30"/>
      <c r="BG15" s="26"/>
      <c r="BH15" s="97"/>
      <c r="BK15">
        <v>0</v>
      </c>
      <c r="BL15">
        <v>0</v>
      </c>
      <c r="BM15">
        <v>0</v>
      </c>
      <c r="BN15">
        <v>1</v>
      </c>
      <c r="BO15">
        <v>0</v>
      </c>
      <c r="BP15">
        <v>0</v>
      </c>
      <c r="BQ15">
        <v>0</v>
      </c>
      <c r="BR15">
        <v>0</v>
      </c>
      <c r="BT15" t="s">
        <v>63</v>
      </c>
      <c r="CA15" s="21"/>
      <c r="CB15" s="48"/>
      <c r="CC15" s="45"/>
      <c r="CD15" s="11"/>
      <c r="CE15" s="409"/>
      <c r="CF15" s="404"/>
      <c r="CG15" s="410"/>
      <c r="CH15" s="332"/>
      <c r="CK15">
        <v>1</v>
      </c>
      <c r="CL15">
        <v>0</v>
      </c>
      <c r="CM15">
        <v>0</v>
      </c>
      <c r="CN15">
        <v>0</v>
      </c>
      <c r="CO15">
        <v>0</v>
      </c>
      <c r="CP15">
        <v>1</v>
      </c>
      <c r="CQ15">
        <v>0</v>
      </c>
      <c r="CR15">
        <v>0</v>
      </c>
      <c r="CT15" t="s">
        <v>67</v>
      </c>
      <c r="DA15" s="125"/>
      <c r="DB15" s="73"/>
      <c r="DC15" s="235"/>
      <c r="DD15" s="319"/>
      <c r="DE15" s="414"/>
      <c r="DF15" s="405"/>
      <c r="DG15" s="214"/>
      <c r="DH15" s="61"/>
      <c r="DK15">
        <v>1</v>
      </c>
      <c r="DL15">
        <v>1</v>
      </c>
      <c r="DM15">
        <v>0</v>
      </c>
      <c r="DN15">
        <v>0</v>
      </c>
      <c r="DO15">
        <v>0</v>
      </c>
      <c r="DP15">
        <v>1</v>
      </c>
      <c r="DQ15">
        <v>0</v>
      </c>
      <c r="DR15">
        <v>1</v>
      </c>
      <c r="DT15" t="s">
        <v>57</v>
      </c>
      <c r="EA15" s="19"/>
      <c r="EB15" s="238"/>
      <c r="EC15" s="77"/>
      <c r="ED15" s="633"/>
      <c r="EE15" s="106"/>
      <c r="EF15" s="16"/>
      <c r="EG15" s="136"/>
      <c r="EH15" s="134"/>
      <c r="EK15">
        <v>0</v>
      </c>
      <c r="EL15">
        <v>0</v>
      </c>
      <c r="EM15">
        <v>1</v>
      </c>
      <c r="EN15">
        <v>1</v>
      </c>
      <c r="EO15">
        <v>0</v>
      </c>
      <c r="EP15">
        <v>0</v>
      </c>
      <c r="EQ15">
        <v>0</v>
      </c>
      <c r="ER15">
        <v>1</v>
      </c>
      <c r="ET15" t="s">
        <v>138</v>
      </c>
      <c r="FA15" s="234"/>
      <c r="FB15" s="69"/>
      <c r="FC15" s="20"/>
      <c r="FD15" s="56"/>
      <c r="FE15" s="407"/>
      <c r="FF15" s="26"/>
      <c r="FG15" s="20"/>
      <c r="FH15" s="107"/>
      <c r="FK15">
        <v>0</v>
      </c>
      <c r="FL15">
        <v>0</v>
      </c>
      <c r="FM15">
        <v>1</v>
      </c>
      <c r="FN15">
        <v>1</v>
      </c>
      <c r="FO15">
        <v>0</v>
      </c>
      <c r="FP15">
        <v>0</v>
      </c>
      <c r="FQ15">
        <v>1</v>
      </c>
      <c r="FR15">
        <v>1</v>
      </c>
      <c r="FT15" t="s">
        <v>124</v>
      </c>
    </row>
    <row r="16" spans="1:176" x14ac:dyDescent="0.25">
      <c r="A16" s="30"/>
      <c r="B16" s="31"/>
      <c r="C16" s="33"/>
      <c r="D16" s="35"/>
      <c r="E16" s="37"/>
      <c r="F16" s="24"/>
      <c r="G16" s="40"/>
      <c r="H16" s="42"/>
      <c r="K16">
        <v>1</v>
      </c>
      <c r="L16">
        <v>1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T16" t="s">
        <v>10</v>
      </c>
      <c r="AA16" s="143"/>
      <c r="AB16" s="20"/>
      <c r="AC16" s="403"/>
      <c r="AD16" s="403"/>
      <c r="AE16" s="132"/>
      <c r="AF16" s="323"/>
      <c r="AG16" s="123"/>
      <c r="AH16" s="12"/>
      <c r="AK16">
        <v>1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T16" t="s">
        <v>44</v>
      </c>
      <c r="BA16" s="50"/>
      <c r="BB16" s="123"/>
      <c r="BC16" s="56"/>
      <c r="BD16" s="66"/>
      <c r="BE16" s="128"/>
      <c r="BF16" s="16"/>
      <c r="BG16" s="232"/>
      <c r="BH16" s="96"/>
      <c r="BK16">
        <v>1</v>
      </c>
      <c r="BL16">
        <v>1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T16" t="s">
        <v>10</v>
      </c>
      <c r="CA16" s="115"/>
      <c r="CB16" s="43"/>
      <c r="CC16" s="119"/>
      <c r="CD16" s="310"/>
      <c r="CE16" s="310"/>
      <c r="CF16" s="411"/>
      <c r="CG16" s="325"/>
      <c r="CH16" s="227"/>
      <c r="CK16">
        <v>1</v>
      </c>
      <c r="CL16">
        <v>1</v>
      </c>
      <c r="CM16">
        <v>0</v>
      </c>
      <c r="CN16">
        <v>1</v>
      </c>
      <c r="CO16">
        <v>0</v>
      </c>
      <c r="CP16">
        <v>0</v>
      </c>
      <c r="CQ16">
        <v>0</v>
      </c>
      <c r="CR16">
        <v>1</v>
      </c>
      <c r="CT16" t="s">
        <v>82</v>
      </c>
      <c r="DA16" s="48"/>
      <c r="DB16" s="221"/>
      <c r="DC16" s="67"/>
      <c r="DD16" s="99"/>
      <c r="DE16" s="107"/>
      <c r="DF16" s="330"/>
      <c r="DG16" s="563"/>
      <c r="DH16" s="334"/>
      <c r="DK16">
        <v>1</v>
      </c>
      <c r="DL16">
        <v>1</v>
      </c>
      <c r="DM16">
        <v>0</v>
      </c>
      <c r="DN16">
        <v>1</v>
      </c>
      <c r="DO16">
        <v>1</v>
      </c>
      <c r="DP16">
        <v>0</v>
      </c>
      <c r="DQ16">
        <v>0</v>
      </c>
      <c r="DR16">
        <v>1</v>
      </c>
      <c r="DT16" t="s">
        <v>99</v>
      </c>
      <c r="EA16" s="139"/>
      <c r="EB16" s="124"/>
      <c r="EC16" s="69"/>
      <c r="ED16" s="17"/>
      <c r="EE16" s="97"/>
      <c r="EF16" s="419"/>
      <c r="EG16" s="100"/>
      <c r="EH16" s="21"/>
      <c r="EK16">
        <v>1</v>
      </c>
      <c r="EL16">
        <v>0</v>
      </c>
      <c r="EM16">
        <v>0</v>
      </c>
      <c r="EN16">
        <v>1</v>
      </c>
      <c r="EO16">
        <v>0</v>
      </c>
      <c r="EP16">
        <v>0</v>
      </c>
      <c r="EQ16">
        <v>1</v>
      </c>
      <c r="ER16">
        <v>1</v>
      </c>
      <c r="ET16" t="s">
        <v>86</v>
      </c>
      <c r="FA16" s="135"/>
      <c r="FB16" s="134"/>
      <c r="FC16" s="138"/>
      <c r="FD16" s="307"/>
      <c r="FE16" s="136"/>
      <c r="FF16" s="327"/>
      <c r="FG16" s="65"/>
      <c r="FH16" s="232"/>
      <c r="FK16">
        <v>0</v>
      </c>
      <c r="FL16">
        <v>1</v>
      </c>
      <c r="FM16">
        <v>0</v>
      </c>
      <c r="FN16">
        <v>1</v>
      </c>
      <c r="FO16">
        <v>0</v>
      </c>
      <c r="FP16">
        <v>0</v>
      </c>
      <c r="FQ16">
        <v>1</v>
      </c>
      <c r="FR16">
        <v>1</v>
      </c>
      <c r="FT16" t="s">
        <v>125</v>
      </c>
    </row>
    <row r="17" spans="1:176" x14ac:dyDescent="0.25">
      <c r="A17" s="44"/>
      <c r="B17" s="45"/>
      <c r="C17" s="47"/>
      <c r="D17" s="49"/>
      <c r="E17" s="51"/>
      <c r="F17" s="52"/>
      <c r="G17" s="54"/>
      <c r="H17" s="56"/>
      <c r="K17">
        <v>0</v>
      </c>
      <c r="L17">
        <v>0</v>
      </c>
      <c r="M17">
        <v>1</v>
      </c>
      <c r="N17">
        <v>1</v>
      </c>
      <c r="O17">
        <v>0</v>
      </c>
      <c r="P17">
        <v>1</v>
      </c>
      <c r="Q17">
        <v>0</v>
      </c>
      <c r="R17">
        <v>0</v>
      </c>
      <c r="T17" t="s">
        <v>11</v>
      </c>
      <c r="AA17" s="100"/>
      <c r="AB17" s="244"/>
      <c r="AC17" s="4"/>
      <c r="AD17" s="317"/>
      <c r="AE17" s="99"/>
      <c r="AF17" s="134"/>
      <c r="AG17" s="18"/>
      <c r="AH17" s="16"/>
      <c r="AK17">
        <v>0</v>
      </c>
      <c r="AL17">
        <v>1</v>
      </c>
      <c r="AM17">
        <v>1</v>
      </c>
      <c r="AN17">
        <v>1</v>
      </c>
      <c r="AO17">
        <v>0</v>
      </c>
      <c r="AP17">
        <v>0</v>
      </c>
      <c r="AQ17">
        <v>0</v>
      </c>
      <c r="AR17">
        <v>1</v>
      </c>
      <c r="AT17" t="s">
        <v>45</v>
      </c>
      <c r="BA17" s="213"/>
      <c r="BB17" s="309"/>
      <c r="BC17" s="230"/>
      <c r="BD17" s="310"/>
      <c r="BE17" s="311"/>
      <c r="BF17" s="89"/>
      <c r="BG17" s="244"/>
      <c r="BH17" s="6"/>
      <c r="BK17">
        <v>0</v>
      </c>
      <c r="BL17">
        <v>1</v>
      </c>
      <c r="BM17">
        <v>1</v>
      </c>
      <c r="BN17">
        <v>1</v>
      </c>
      <c r="BO17">
        <v>0</v>
      </c>
      <c r="BP17">
        <v>1</v>
      </c>
      <c r="BQ17">
        <v>0</v>
      </c>
      <c r="BR17">
        <v>1</v>
      </c>
      <c r="BT17" t="s">
        <v>59</v>
      </c>
      <c r="CA17" s="222"/>
      <c r="CB17" s="45"/>
      <c r="CC17" s="99"/>
      <c r="CD17" s="412"/>
      <c r="CE17" s="310"/>
      <c r="CF17" s="213"/>
      <c r="CG17" s="229"/>
      <c r="CH17" s="334"/>
      <c r="CK17">
        <v>1</v>
      </c>
      <c r="CL17">
        <v>1</v>
      </c>
      <c r="CM17">
        <v>1</v>
      </c>
      <c r="CN17">
        <v>1</v>
      </c>
      <c r="CO17">
        <v>1</v>
      </c>
      <c r="CP17">
        <v>0</v>
      </c>
      <c r="CQ17">
        <v>0</v>
      </c>
      <c r="CR17">
        <v>1</v>
      </c>
      <c r="CT17" t="s">
        <v>83</v>
      </c>
      <c r="DA17" s="217"/>
      <c r="DB17" s="11"/>
      <c r="DC17" s="308"/>
      <c r="DD17" s="215"/>
      <c r="DE17" s="310"/>
      <c r="DF17" s="21"/>
      <c r="DG17" s="227"/>
      <c r="DH17" s="59"/>
      <c r="DK17">
        <v>0</v>
      </c>
      <c r="DL17">
        <v>1</v>
      </c>
      <c r="DM17">
        <v>1</v>
      </c>
      <c r="DN17">
        <v>1</v>
      </c>
      <c r="DO17">
        <v>1</v>
      </c>
      <c r="DP17">
        <v>0</v>
      </c>
      <c r="DQ17">
        <v>0</v>
      </c>
      <c r="DR17">
        <v>1</v>
      </c>
      <c r="DT17" t="s">
        <v>100</v>
      </c>
      <c r="EA17" s="123"/>
      <c r="EB17" s="135"/>
      <c r="EC17" s="68"/>
      <c r="ED17" s="81"/>
      <c r="EE17" s="8"/>
      <c r="EF17" s="45"/>
      <c r="EG17" s="45"/>
      <c r="EH17" s="11"/>
      <c r="EK17">
        <v>1</v>
      </c>
      <c r="EL17">
        <v>0</v>
      </c>
      <c r="EM17">
        <v>0</v>
      </c>
      <c r="EN17">
        <v>0</v>
      </c>
      <c r="EO17">
        <v>1</v>
      </c>
      <c r="EP17">
        <v>0</v>
      </c>
      <c r="EQ17">
        <v>0</v>
      </c>
      <c r="ER17">
        <v>0</v>
      </c>
      <c r="ET17" t="s">
        <v>139</v>
      </c>
      <c r="FA17" s="73"/>
      <c r="FB17" s="30"/>
      <c r="FC17" s="18"/>
      <c r="FD17" s="99"/>
      <c r="FE17" s="121"/>
      <c r="FF17" s="105"/>
      <c r="FG17" s="113"/>
      <c r="FH17" s="82"/>
      <c r="FK17">
        <v>0</v>
      </c>
      <c r="FL17">
        <v>1</v>
      </c>
      <c r="FM17">
        <v>1</v>
      </c>
      <c r="FN17">
        <v>1</v>
      </c>
      <c r="FO17">
        <v>0</v>
      </c>
      <c r="FP17">
        <v>0</v>
      </c>
      <c r="FQ17">
        <v>1</v>
      </c>
      <c r="FR17">
        <v>1</v>
      </c>
      <c r="FT17" t="s">
        <v>126</v>
      </c>
    </row>
    <row r="18" spans="1:176" x14ac:dyDescent="0.25">
      <c r="A18" s="125"/>
      <c r="B18" s="210"/>
      <c r="C18" s="103"/>
      <c r="D18" s="108"/>
      <c r="E18" s="211"/>
      <c r="F18" s="212"/>
      <c r="G18" s="121"/>
      <c r="H18" s="213"/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T18" t="s">
        <v>12</v>
      </c>
      <c r="AA18" s="23"/>
      <c r="AB18" s="135"/>
      <c r="AC18" s="120"/>
      <c r="AD18" s="88"/>
      <c r="AE18" s="211"/>
      <c r="AF18" s="143"/>
      <c r="AG18" s="96"/>
      <c r="AH18" s="110"/>
      <c r="AK18">
        <v>0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T18" t="s">
        <v>46</v>
      </c>
      <c r="BA18" s="312"/>
      <c r="BB18" s="213"/>
      <c r="BC18" s="52"/>
      <c r="BD18" s="88"/>
      <c r="BE18" s="22"/>
      <c r="BF18" s="22"/>
      <c r="BG18" s="221"/>
      <c r="BH18" s="45"/>
      <c r="BK18">
        <v>0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T18" t="s">
        <v>46</v>
      </c>
      <c r="CA18" s="30"/>
      <c r="CB18" s="28"/>
      <c r="CC18" s="49"/>
      <c r="CD18" s="310"/>
      <c r="CE18" s="15"/>
      <c r="CF18" s="99"/>
      <c r="CG18" s="12"/>
      <c r="CH18" s="83"/>
      <c r="CK18">
        <v>1</v>
      </c>
      <c r="CL18">
        <v>0</v>
      </c>
      <c r="CM18">
        <v>1</v>
      </c>
      <c r="CN18">
        <v>1</v>
      </c>
      <c r="CO18">
        <v>0</v>
      </c>
      <c r="CP18">
        <v>0</v>
      </c>
      <c r="CQ18">
        <v>0</v>
      </c>
      <c r="CR18">
        <v>0</v>
      </c>
      <c r="CT18" t="s">
        <v>43</v>
      </c>
      <c r="DA18" s="16"/>
      <c r="DB18" s="28"/>
      <c r="DC18" s="403"/>
      <c r="DD18" s="310"/>
      <c r="DE18" s="33"/>
      <c r="DF18" s="14"/>
      <c r="DG18" s="223"/>
      <c r="DH18" s="104"/>
      <c r="DK18">
        <v>1</v>
      </c>
      <c r="DL18">
        <v>0</v>
      </c>
      <c r="DM18">
        <v>1</v>
      </c>
      <c r="DN18">
        <v>1</v>
      </c>
      <c r="DO18">
        <v>0</v>
      </c>
      <c r="DP18">
        <v>0</v>
      </c>
      <c r="DQ18">
        <v>0</v>
      </c>
      <c r="DR18">
        <v>0</v>
      </c>
      <c r="DT18" t="s">
        <v>43</v>
      </c>
      <c r="EA18" s="221"/>
      <c r="EB18" s="86"/>
      <c r="EC18" s="27"/>
      <c r="ED18" s="243"/>
      <c r="EE18" s="319"/>
      <c r="EF18" s="96"/>
      <c r="EG18" s="27"/>
      <c r="EH18" s="137"/>
      <c r="EK18">
        <v>1</v>
      </c>
      <c r="EL18">
        <v>0</v>
      </c>
      <c r="EM18">
        <v>1</v>
      </c>
      <c r="EN18">
        <v>0</v>
      </c>
      <c r="EO18">
        <v>0</v>
      </c>
      <c r="EP18">
        <v>1</v>
      </c>
      <c r="EQ18">
        <v>1</v>
      </c>
      <c r="ER18">
        <v>0</v>
      </c>
      <c r="ET18" t="s">
        <v>104</v>
      </c>
      <c r="FA18" s="221"/>
      <c r="FB18" s="73"/>
      <c r="FC18" s="19"/>
      <c r="FD18" s="26"/>
      <c r="FE18" s="115"/>
      <c r="FF18" s="122"/>
      <c r="FG18" s="122"/>
      <c r="FH18" s="137"/>
      <c r="FK18">
        <v>1</v>
      </c>
      <c r="FL18">
        <v>1</v>
      </c>
      <c r="FM18">
        <v>1</v>
      </c>
      <c r="FN18">
        <v>0</v>
      </c>
      <c r="FO18">
        <v>0</v>
      </c>
      <c r="FP18">
        <v>1</v>
      </c>
      <c r="FQ18">
        <v>0</v>
      </c>
      <c r="FR18">
        <v>1</v>
      </c>
      <c r="FT18" t="s">
        <v>105</v>
      </c>
    </row>
    <row r="19" spans="1:176" x14ac:dyDescent="0.25">
      <c r="A19" s="72"/>
      <c r="B19" s="214"/>
      <c r="C19" s="102"/>
      <c r="D19" s="215"/>
      <c r="E19" s="95"/>
      <c r="F19" s="216"/>
      <c r="G19" s="88"/>
      <c r="H19" s="59"/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1</v>
      </c>
      <c r="R19">
        <v>0</v>
      </c>
      <c r="T19" t="s">
        <v>13</v>
      </c>
      <c r="AA19" s="322"/>
      <c r="AB19" s="67"/>
      <c r="AC19" s="130"/>
      <c r="AD19" s="140"/>
      <c r="AE19" s="16"/>
      <c r="AF19" s="134"/>
      <c r="AG19" s="50"/>
      <c r="AH19" s="338"/>
      <c r="AK19">
        <v>0</v>
      </c>
      <c r="AL19">
        <v>1</v>
      </c>
      <c r="AM19">
        <v>1</v>
      </c>
      <c r="AN19">
        <v>1</v>
      </c>
      <c r="AO19">
        <v>0</v>
      </c>
      <c r="AP19">
        <v>1</v>
      </c>
      <c r="AQ19">
        <v>0</v>
      </c>
      <c r="AR19">
        <v>0</v>
      </c>
      <c r="AT19" t="s">
        <v>47</v>
      </c>
      <c r="BA19" s="118"/>
      <c r="BB19" s="313"/>
      <c r="BC19" s="15"/>
      <c r="BD19" s="55"/>
      <c r="BE19" s="314"/>
      <c r="BF19" s="102"/>
      <c r="BG19" s="315"/>
      <c r="BH19" s="231"/>
      <c r="BK19">
        <v>0</v>
      </c>
      <c r="BL19">
        <v>0</v>
      </c>
      <c r="BM19">
        <v>1</v>
      </c>
      <c r="BN19">
        <v>1</v>
      </c>
      <c r="BO19">
        <v>0</v>
      </c>
      <c r="BP19">
        <v>1</v>
      </c>
      <c r="BQ19">
        <v>0</v>
      </c>
      <c r="BR19">
        <v>0</v>
      </c>
      <c r="BT19" t="s">
        <v>11</v>
      </c>
      <c r="CA19" s="95"/>
      <c r="CB19" s="136"/>
      <c r="CC19" s="41"/>
      <c r="CD19" s="55"/>
      <c r="CE19" s="129"/>
      <c r="CF19" s="221"/>
      <c r="CG19" s="13"/>
      <c r="CH19" s="112"/>
      <c r="CK19">
        <v>1</v>
      </c>
      <c r="CL19">
        <v>0</v>
      </c>
      <c r="CM19">
        <v>1</v>
      </c>
      <c r="CN19">
        <v>1</v>
      </c>
      <c r="CO19">
        <v>0</v>
      </c>
      <c r="CP19">
        <v>0</v>
      </c>
      <c r="CQ19">
        <v>0</v>
      </c>
      <c r="CR19">
        <v>1</v>
      </c>
      <c r="CT19" t="s">
        <v>84</v>
      </c>
      <c r="DA19" s="60"/>
      <c r="DB19" s="82"/>
      <c r="DC19" s="138"/>
      <c r="DD19" s="85"/>
      <c r="DE19" s="10"/>
      <c r="DF19" s="133"/>
      <c r="DG19" s="48"/>
      <c r="DH19" s="146"/>
      <c r="DK19">
        <v>1</v>
      </c>
      <c r="DL19">
        <v>0</v>
      </c>
      <c r="DM19">
        <v>1</v>
      </c>
      <c r="DN19">
        <v>1</v>
      </c>
      <c r="DO19">
        <v>0</v>
      </c>
      <c r="DP19">
        <v>0</v>
      </c>
      <c r="DQ19">
        <v>0</v>
      </c>
      <c r="DR19">
        <v>0</v>
      </c>
      <c r="DT19" t="s">
        <v>43</v>
      </c>
      <c r="EA19" s="25"/>
      <c r="EB19" s="224"/>
      <c r="EC19" s="30"/>
      <c r="ED19" s="219"/>
      <c r="EE19" s="423"/>
      <c r="EF19" s="68"/>
      <c r="EG19" s="239"/>
      <c r="EH19" s="338"/>
      <c r="EK19">
        <v>0</v>
      </c>
      <c r="EL19">
        <v>0</v>
      </c>
      <c r="EM19">
        <v>1</v>
      </c>
      <c r="EN19">
        <v>0</v>
      </c>
      <c r="EO19">
        <v>0</v>
      </c>
      <c r="EP19">
        <v>1</v>
      </c>
      <c r="EQ19">
        <v>0</v>
      </c>
      <c r="ER19">
        <v>0</v>
      </c>
      <c r="ET19" t="s">
        <v>20</v>
      </c>
      <c r="FA19" s="236"/>
      <c r="FB19" s="59"/>
      <c r="FC19" s="28"/>
      <c r="FD19" s="23"/>
      <c r="FE19" s="210"/>
      <c r="FF19" s="406"/>
      <c r="FG19" s="235"/>
      <c r="FH19" s="112"/>
      <c r="FK19">
        <v>0</v>
      </c>
      <c r="FL19">
        <v>0</v>
      </c>
      <c r="FM19">
        <v>1</v>
      </c>
      <c r="FN19">
        <v>0</v>
      </c>
      <c r="FO19">
        <v>0</v>
      </c>
      <c r="FP19">
        <v>1</v>
      </c>
      <c r="FQ19">
        <v>1</v>
      </c>
      <c r="FR19">
        <v>1</v>
      </c>
      <c r="FT19" t="s">
        <v>127</v>
      </c>
    </row>
    <row r="20" spans="1:176" x14ac:dyDescent="0.25">
      <c r="A20" s="126"/>
      <c r="B20" s="137"/>
      <c r="C20" s="53"/>
      <c r="D20" s="217"/>
      <c r="E20" s="218"/>
      <c r="F20" s="219"/>
      <c r="G20" s="146"/>
      <c r="H20" s="220"/>
      <c r="K20">
        <v>1</v>
      </c>
      <c r="L20">
        <v>1</v>
      </c>
      <c r="M20">
        <v>1</v>
      </c>
      <c r="N20">
        <v>0</v>
      </c>
      <c r="O20">
        <v>0</v>
      </c>
      <c r="P20">
        <v>0</v>
      </c>
      <c r="Q20">
        <v>1</v>
      </c>
      <c r="R20">
        <v>0</v>
      </c>
      <c r="T20" t="s">
        <v>14</v>
      </c>
      <c r="AA20" s="115"/>
      <c r="AB20" s="338"/>
      <c r="AC20" s="213"/>
      <c r="AD20" s="404"/>
      <c r="AE20" s="228"/>
      <c r="AF20" s="210"/>
      <c r="AG20" s="81"/>
      <c r="AH20" s="213"/>
      <c r="AK20">
        <v>1</v>
      </c>
      <c r="AL20">
        <v>0</v>
      </c>
      <c r="AM20">
        <v>1</v>
      </c>
      <c r="AN20">
        <v>0</v>
      </c>
      <c r="AO20">
        <v>0</v>
      </c>
      <c r="AP20">
        <v>1</v>
      </c>
      <c r="AQ20">
        <v>0</v>
      </c>
      <c r="AR20">
        <v>1</v>
      </c>
      <c r="AT20" t="s">
        <v>48</v>
      </c>
      <c r="BA20" s="100"/>
      <c r="BB20" s="121"/>
      <c r="BC20" s="65"/>
      <c r="BD20" s="316"/>
      <c r="BE20" s="227"/>
      <c r="BF20" s="111"/>
      <c r="BG20" s="104"/>
      <c r="BH20" s="218"/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1</v>
      </c>
      <c r="BR20">
        <v>0</v>
      </c>
      <c r="BT20" t="s">
        <v>64</v>
      </c>
      <c r="CA20" s="104"/>
      <c r="CB20" s="403"/>
      <c r="CC20" s="122"/>
      <c r="CD20" s="235"/>
      <c r="CE20" s="410"/>
      <c r="CF20" s="224"/>
      <c r="CG20" s="210"/>
      <c r="CH20" s="74"/>
      <c r="CK20">
        <v>0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1</v>
      </c>
      <c r="CR20">
        <v>1</v>
      </c>
      <c r="CT20" t="s">
        <v>85</v>
      </c>
      <c r="DA20" s="322"/>
      <c r="DB20" s="221"/>
      <c r="DC20" s="119"/>
      <c r="DD20" s="113"/>
      <c r="DE20" s="238"/>
      <c r="DF20" s="59"/>
      <c r="DG20" s="80"/>
      <c r="DH20" s="67"/>
      <c r="DK20">
        <v>1</v>
      </c>
      <c r="DL20">
        <v>1</v>
      </c>
      <c r="DM20">
        <v>0</v>
      </c>
      <c r="DN20">
        <v>1</v>
      </c>
      <c r="DO20">
        <v>0</v>
      </c>
      <c r="DP20">
        <v>0</v>
      </c>
      <c r="DQ20">
        <v>0</v>
      </c>
      <c r="DR20">
        <v>1</v>
      </c>
      <c r="DT20" t="s">
        <v>82</v>
      </c>
      <c r="EA20" s="406"/>
      <c r="EB20" s="331"/>
      <c r="EC20" s="410"/>
      <c r="ED20" s="313"/>
      <c r="EE20" s="227"/>
      <c r="EF20" s="565"/>
      <c r="EG20" s="84"/>
      <c r="EH20" s="125"/>
      <c r="EK20">
        <v>1</v>
      </c>
      <c r="EL20">
        <v>0</v>
      </c>
      <c r="EM20">
        <v>1</v>
      </c>
      <c r="EN20">
        <v>1</v>
      </c>
      <c r="EO20">
        <v>0</v>
      </c>
      <c r="EP20">
        <v>1</v>
      </c>
      <c r="EQ20">
        <v>1</v>
      </c>
      <c r="ER20">
        <v>1</v>
      </c>
      <c r="ET20" t="s">
        <v>140</v>
      </c>
      <c r="FA20" s="564"/>
      <c r="FB20" s="118"/>
      <c r="FC20" s="104"/>
      <c r="FD20" s="105"/>
      <c r="FE20" s="104"/>
      <c r="FF20" s="214"/>
      <c r="FG20" s="223"/>
      <c r="FH20" s="44"/>
      <c r="FK20">
        <v>0</v>
      </c>
      <c r="FL20">
        <v>0</v>
      </c>
      <c r="FM20">
        <v>1</v>
      </c>
      <c r="FN20">
        <v>1</v>
      </c>
      <c r="FO20">
        <v>0</v>
      </c>
      <c r="FP20">
        <v>0</v>
      </c>
      <c r="FQ20">
        <v>1</v>
      </c>
      <c r="FR20">
        <v>1</v>
      </c>
      <c r="FT20" t="s">
        <v>124</v>
      </c>
    </row>
    <row r="21" spans="1:176" x14ac:dyDescent="0.25">
      <c r="A21" s="112"/>
      <c r="B21" s="69"/>
      <c r="C21" s="221"/>
      <c r="D21" s="40"/>
      <c r="E21" s="112"/>
      <c r="F21" s="112"/>
      <c r="G21" s="112"/>
      <c r="H21" s="68"/>
      <c r="K21">
        <v>1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0</v>
      </c>
      <c r="T21" t="s">
        <v>15</v>
      </c>
      <c r="AA21" s="53"/>
      <c r="AB21" s="116"/>
      <c r="AC21" s="53"/>
      <c r="AD21" s="40"/>
      <c r="AE21" s="42"/>
      <c r="AF21" s="42"/>
      <c r="AG21" s="96"/>
      <c r="AH21" s="21"/>
      <c r="AK21">
        <v>1</v>
      </c>
      <c r="AL21">
        <v>1</v>
      </c>
      <c r="AM21">
        <v>0</v>
      </c>
      <c r="AN21">
        <v>1</v>
      </c>
      <c r="AO21">
        <v>0</v>
      </c>
      <c r="AP21">
        <v>0</v>
      </c>
      <c r="AQ21">
        <v>1</v>
      </c>
      <c r="AR21">
        <v>1</v>
      </c>
      <c r="AT21" t="s">
        <v>49</v>
      </c>
      <c r="BA21" s="112"/>
      <c r="BB21" s="234"/>
      <c r="BC21" s="221"/>
      <c r="BD21" s="116"/>
      <c r="BE21" s="121"/>
      <c r="BF21" s="221"/>
      <c r="BG21" s="69"/>
      <c r="BH21" s="242"/>
      <c r="BK21">
        <v>1</v>
      </c>
      <c r="BL21">
        <v>1</v>
      </c>
      <c r="BM21">
        <v>0</v>
      </c>
      <c r="BN21">
        <v>1</v>
      </c>
      <c r="BO21">
        <v>0</v>
      </c>
      <c r="BP21">
        <v>0</v>
      </c>
      <c r="BQ21">
        <v>1</v>
      </c>
      <c r="BR21">
        <v>0</v>
      </c>
      <c r="BT21" t="s">
        <v>23</v>
      </c>
      <c r="CA21" s="136"/>
      <c r="CB21" s="38"/>
      <c r="CC21" s="413"/>
      <c r="CD21" s="116"/>
      <c r="CE21" s="222"/>
      <c r="CF21" s="333"/>
      <c r="CG21" s="238"/>
      <c r="CH21" s="142"/>
      <c r="CK21">
        <v>1</v>
      </c>
      <c r="CL21">
        <v>0</v>
      </c>
      <c r="CM21">
        <v>0</v>
      </c>
      <c r="CN21">
        <v>1</v>
      </c>
      <c r="CO21">
        <v>0</v>
      </c>
      <c r="CP21">
        <v>0</v>
      </c>
      <c r="CQ21">
        <v>1</v>
      </c>
      <c r="CR21">
        <v>1</v>
      </c>
      <c r="CT21" t="s">
        <v>86</v>
      </c>
      <c r="DA21" s="327"/>
      <c r="DB21" s="38"/>
      <c r="DC21" s="115"/>
      <c r="DD21" s="87"/>
      <c r="DE21" s="79"/>
      <c r="DF21" s="325"/>
      <c r="DG21" s="48"/>
      <c r="DH21" s="106"/>
      <c r="DK21">
        <v>0</v>
      </c>
      <c r="DL21">
        <v>1</v>
      </c>
      <c r="DM21">
        <v>0</v>
      </c>
      <c r="DN21">
        <v>0</v>
      </c>
      <c r="DO21">
        <v>0</v>
      </c>
      <c r="DP21">
        <v>0</v>
      </c>
      <c r="DQ21">
        <v>1</v>
      </c>
      <c r="DR21">
        <v>1</v>
      </c>
      <c r="DT21" t="s">
        <v>85</v>
      </c>
      <c r="EA21" s="233"/>
      <c r="EB21" s="320"/>
      <c r="EC21" s="410"/>
      <c r="ED21" s="84"/>
      <c r="EE21" s="237"/>
      <c r="EF21" s="210"/>
      <c r="EG21" s="138"/>
      <c r="EH21" s="104"/>
      <c r="EK21">
        <v>0</v>
      </c>
      <c r="EL21">
        <v>1</v>
      </c>
      <c r="EM21">
        <v>0</v>
      </c>
      <c r="EN21">
        <v>1</v>
      </c>
      <c r="EO21">
        <v>1</v>
      </c>
      <c r="EP21">
        <v>0</v>
      </c>
      <c r="EQ21">
        <v>1</v>
      </c>
      <c r="ER21">
        <v>0</v>
      </c>
      <c r="ET21" t="s">
        <v>141</v>
      </c>
      <c r="FA21" s="48"/>
      <c r="FB21" s="210"/>
      <c r="FC21" s="223"/>
      <c r="FD21" s="84"/>
      <c r="FE21" s="309"/>
      <c r="FF21" s="338"/>
      <c r="FG21" s="76"/>
      <c r="FH21" s="59"/>
      <c r="FK21">
        <v>0</v>
      </c>
      <c r="FL21">
        <v>0</v>
      </c>
      <c r="FM21">
        <v>1</v>
      </c>
      <c r="FN21">
        <v>1</v>
      </c>
      <c r="FO21">
        <v>0</v>
      </c>
      <c r="FP21">
        <v>0</v>
      </c>
      <c r="FQ21">
        <v>1</v>
      </c>
      <c r="FR21">
        <v>0</v>
      </c>
      <c r="FT21" t="s">
        <v>13</v>
      </c>
    </row>
    <row r="22" spans="1:176" x14ac:dyDescent="0.25">
      <c r="K22">
        <v>8</v>
      </c>
      <c r="T22" t="s">
        <v>16</v>
      </c>
      <c r="AK22">
        <v>8</v>
      </c>
      <c r="AT22" t="s">
        <v>50</v>
      </c>
      <c r="BK22">
        <v>7</v>
      </c>
      <c r="BT22" t="s">
        <v>65</v>
      </c>
      <c r="CK22">
        <v>6</v>
      </c>
      <c r="CT22" t="s">
        <v>87</v>
      </c>
      <c r="DK22">
        <v>13</v>
      </c>
      <c r="DT22" t="s">
        <v>101</v>
      </c>
      <c r="EK22">
        <v>5</v>
      </c>
      <c r="ET22" t="s">
        <v>142</v>
      </c>
      <c r="FK22">
        <v>1</v>
      </c>
      <c r="FT22" t="s">
        <v>128</v>
      </c>
    </row>
    <row r="23" spans="1:176" x14ac:dyDescent="0.25">
      <c r="T23">
        <v>23</v>
      </c>
      <c r="AT23">
        <v>27</v>
      </c>
      <c r="BT23">
        <v>22</v>
      </c>
      <c r="CT23">
        <v>29</v>
      </c>
      <c r="DT23">
        <v>26</v>
      </c>
      <c r="ET23">
        <v>32</v>
      </c>
      <c r="FT23">
        <v>29</v>
      </c>
    </row>
    <row r="24" spans="1:176" x14ac:dyDescent="0.25">
      <c r="A24" s="4"/>
      <c r="B24" s="63"/>
      <c r="C24" s="77"/>
      <c r="D24" s="8"/>
      <c r="E24" s="14"/>
      <c r="F24" s="50"/>
      <c r="G24" s="99"/>
      <c r="H24" s="21"/>
      <c r="K24">
        <v>1</v>
      </c>
      <c r="L24">
        <v>0</v>
      </c>
      <c r="M24">
        <v>1</v>
      </c>
      <c r="N24">
        <v>0</v>
      </c>
      <c r="O24">
        <v>0</v>
      </c>
      <c r="P24">
        <v>0</v>
      </c>
      <c r="Q24">
        <v>1</v>
      </c>
      <c r="R24">
        <v>0</v>
      </c>
      <c r="T24" t="s">
        <v>17</v>
      </c>
      <c r="AA24" s="30"/>
      <c r="AB24" s="14"/>
      <c r="AC24" s="14"/>
      <c r="AD24" s="143"/>
      <c r="AE24" s="24"/>
      <c r="AF24" s="24"/>
      <c r="AG24" s="50"/>
      <c r="AH24" s="12"/>
      <c r="AK24">
        <v>0</v>
      </c>
      <c r="AL24">
        <v>1</v>
      </c>
      <c r="AM24">
        <v>0</v>
      </c>
      <c r="AN24">
        <v>1</v>
      </c>
      <c r="AO24">
        <v>0</v>
      </c>
      <c r="AP24">
        <v>0</v>
      </c>
      <c r="AQ24">
        <v>1</v>
      </c>
      <c r="AR24">
        <v>0</v>
      </c>
      <c r="AT24" t="s">
        <v>42</v>
      </c>
      <c r="BA24" s="77"/>
      <c r="BB24" s="307"/>
      <c r="BC24" s="237"/>
      <c r="BD24" s="317"/>
      <c r="BE24" s="16"/>
      <c r="BF24" s="318"/>
      <c r="BG24" s="307"/>
      <c r="BH24" s="143"/>
      <c r="BK24">
        <v>1</v>
      </c>
      <c r="BL24">
        <v>0</v>
      </c>
      <c r="BM24">
        <v>1</v>
      </c>
      <c r="BN24">
        <v>0</v>
      </c>
      <c r="BO24">
        <v>0</v>
      </c>
      <c r="BP24">
        <v>0</v>
      </c>
      <c r="BQ24">
        <v>1</v>
      </c>
      <c r="BR24">
        <v>0</v>
      </c>
      <c r="BT24" t="s">
        <v>17</v>
      </c>
      <c r="CA24" s="36"/>
      <c r="CB24" s="8"/>
      <c r="CC24" s="8"/>
      <c r="CD24" s="135"/>
      <c r="CE24" s="39"/>
      <c r="CF24" s="244"/>
      <c r="CG24" s="114"/>
      <c r="CH24" s="94"/>
      <c r="CK24">
        <v>1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1</v>
      </c>
      <c r="CT24" t="s">
        <v>88</v>
      </c>
      <c r="DA24" s="36"/>
      <c r="DB24" s="98"/>
      <c r="DC24" s="323"/>
      <c r="DD24" s="40"/>
      <c r="DE24" s="100"/>
      <c r="DF24" s="564"/>
      <c r="DG24" s="428"/>
      <c r="DH24" s="410"/>
      <c r="DK24">
        <v>1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1</v>
      </c>
      <c r="DT24" t="s">
        <v>88</v>
      </c>
      <c r="EA24" s="235"/>
      <c r="EB24" s="119"/>
      <c r="EC24" s="50"/>
      <c r="ED24" s="117"/>
      <c r="EE24" s="328"/>
      <c r="EF24" s="56"/>
      <c r="EG24" s="420"/>
      <c r="EH24" s="130"/>
      <c r="EK24">
        <v>1</v>
      </c>
      <c r="EL24">
        <v>1</v>
      </c>
      <c r="EM24">
        <v>1</v>
      </c>
      <c r="EN24">
        <v>1</v>
      </c>
      <c r="EO24">
        <v>1</v>
      </c>
      <c r="EP24">
        <v>0</v>
      </c>
      <c r="EQ24">
        <v>0</v>
      </c>
      <c r="ER24">
        <v>0</v>
      </c>
      <c r="ET24" t="s">
        <v>143</v>
      </c>
      <c r="FA24" s="68"/>
      <c r="FB24" s="65"/>
      <c r="FC24" s="27"/>
      <c r="FD24" s="211"/>
      <c r="FE24" s="699"/>
      <c r="FF24" s="240"/>
      <c r="FG24" s="212"/>
      <c r="FH24" s="129"/>
      <c r="FK24">
        <v>1</v>
      </c>
      <c r="FL24">
        <v>0</v>
      </c>
      <c r="FM24">
        <v>1</v>
      </c>
      <c r="FN24">
        <v>1</v>
      </c>
      <c r="FO24">
        <v>1</v>
      </c>
      <c r="FP24">
        <v>0</v>
      </c>
      <c r="FQ24">
        <v>0</v>
      </c>
      <c r="FR24">
        <v>0</v>
      </c>
      <c r="FT24" t="s">
        <v>123</v>
      </c>
    </row>
    <row r="25" spans="1:176" x14ac:dyDescent="0.25">
      <c r="A25" s="101"/>
      <c r="B25" s="12"/>
      <c r="C25" s="12"/>
      <c r="D25" s="20"/>
      <c r="E25" s="39"/>
      <c r="F25" s="39"/>
      <c r="G25" s="42"/>
      <c r="H25" s="67"/>
      <c r="K25">
        <v>0</v>
      </c>
      <c r="L25">
        <v>1</v>
      </c>
      <c r="M25">
        <v>0</v>
      </c>
      <c r="N25">
        <v>1</v>
      </c>
      <c r="O25">
        <v>0</v>
      </c>
      <c r="P25">
        <v>0</v>
      </c>
      <c r="Q25">
        <v>0</v>
      </c>
      <c r="R25">
        <v>0</v>
      </c>
      <c r="T25" t="s">
        <v>18</v>
      </c>
      <c r="AA25" s="24"/>
      <c r="AB25" s="19"/>
      <c r="AC25" s="34"/>
      <c r="AD25" s="20"/>
      <c r="AE25" s="24"/>
      <c r="AF25" s="26"/>
      <c r="AG25" s="138"/>
      <c r="AH25" s="42"/>
      <c r="AK25">
        <v>0</v>
      </c>
      <c r="AL25">
        <v>0</v>
      </c>
      <c r="AM25">
        <v>1</v>
      </c>
      <c r="AN25">
        <v>1</v>
      </c>
      <c r="AO25">
        <v>0</v>
      </c>
      <c r="AP25">
        <v>0</v>
      </c>
      <c r="AQ25">
        <v>0</v>
      </c>
      <c r="AR25">
        <v>0</v>
      </c>
      <c r="AT25" t="s">
        <v>12</v>
      </c>
      <c r="BA25" s="24"/>
      <c r="BB25" s="19"/>
      <c r="BC25" s="30"/>
      <c r="BD25" s="34"/>
      <c r="BE25" s="40"/>
      <c r="BF25" s="109"/>
      <c r="BG25" s="234"/>
      <c r="BH25" s="67"/>
      <c r="BK25">
        <v>0</v>
      </c>
      <c r="BL25">
        <v>0</v>
      </c>
      <c r="BM25">
        <v>0</v>
      </c>
      <c r="BN25">
        <v>1</v>
      </c>
      <c r="BO25">
        <v>0</v>
      </c>
      <c r="BP25">
        <v>1</v>
      </c>
      <c r="BQ25">
        <v>0</v>
      </c>
      <c r="BR25">
        <v>0</v>
      </c>
      <c r="BT25" t="s">
        <v>66</v>
      </c>
      <c r="CA25" s="128"/>
      <c r="CB25" s="308"/>
      <c r="CC25" s="10"/>
      <c r="CD25" s="34"/>
      <c r="CE25" s="217"/>
      <c r="CF25" s="23"/>
      <c r="CG25" s="81"/>
      <c r="CH25" s="414"/>
      <c r="CK25">
        <v>1</v>
      </c>
      <c r="CL25">
        <v>0</v>
      </c>
      <c r="CM25">
        <v>0</v>
      </c>
      <c r="CN25">
        <v>0</v>
      </c>
      <c r="CO25">
        <v>0</v>
      </c>
      <c r="CP25">
        <v>1</v>
      </c>
      <c r="CQ25">
        <v>0</v>
      </c>
      <c r="CR25">
        <v>0</v>
      </c>
      <c r="CT25" t="s">
        <v>67</v>
      </c>
      <c r="DA25" s="306"/>
      <c r="DB25" s="132"/>
      <c r="DC25" s="317"/>
      <c r="DD25" s="34"/>
      <c r="DE25" s="119"/>
      <c r="DF25" s="236"/>
      <c r="DG25" s="146"/>
      <c r="DH25" s="404"/>
      <c r="DK25">
        <v>1</v>
      </c>
      <c r="DL25">
        <v>1</v>
      </c>
      <c r="DM25">
        <v>0</v>
      </c>
      <c r="DN25">
        <v>0</v>
      </c>
      <c r="DO25">
        <v>0</v>
      </c>
      <c r="DP25">
        <v>1</v>
      </c>
      <c r="DQ25">
        <v>0</v>
      </c>
      <c r="DR25">
        <v>0</v>
      </c>
      <c r="DT25" t="s">
        <v>102</v>
      </c>
      <c r="EA25" s="140"/>
      <c r="EB25" s="28"/>
      <c r="EC25" s="98"/>
      <c r="ED25" s="311"/>
      <c r="EE25" s="216"/>
      <c r="EF25" s="20"/>
      <c r="EG25" s="100"/>
      <c r="EH25" s="317"/>
      <c r="EK25">
        <v>1</v>
      </c>
      <c r="EL25">
        <v>0</v>
      </c>
      <c r="EM25">
        <v>1</v>
      </c>
      <c r="EN25">
        <v>1</v>
      </c>
      <c r="EO25">
        <v>0</v>
      </c>
      <c r="EP25">
        <v>0</v>
      </c>
      <c r="EQ25">
        <v>0</v>
      </c>
      <c r="ER25">
        <v>1</v>
      </c>
      <c r="ET25" t="s">
        <v>84</v>
      </c>
      <c r="FA25" s="34"/>
      <c r="FB25" s="19"/>
      <c r="FC25" s="16"/>
      <c r="FD25" s="56"/>
      <c r="FE25" s="139"/>
      <c r="FF25" s="116"/>
      <c r="FG25" s="318"/>
      <c r="FH25" s="306"/>
      <c r="FK25">
        <v>0</v>
      </c>
      <c r="FL25">
        <v>0</v>
      </c>
      <c r="FM25">
        <v>1</v>
      </c>
      <c r="FN25">
        <v>1</v>
      </c>
      <c r="FO25">
        <v>0</v>
      </c>
      <c r="FP25">
        <v>0</v>
      </c>
      <c r="FQ25">
        <v>1</v>
      </c>
      <c r="FR25">
        <v>1</v>
      </c>
      <c r="FT25" t="s">
        <v>124</v>
      </c>
    </row>
    <row r="26" spans="1:176" x14ac:dyDescent="0.25">
      <c r="A26" s="50"/>
      <c r="B26" s="18"/>
      <c r="C26" s="105"/>
      <c r="D26" s="76"/>
      <c r="E26" s="109"/>
      <c r="F26" s="30"/>
      <c r="G26" s="53"/>
      <c r="H26" s="112"/>
      <c r="K26">
        <v>1</v>
      </c>
      <c r="L26">
        <v>0</v>
      </c>
      <c r="M26">
        <v>0</v>
      </c>
      <c r="N26">
        <v>1</v>
      </c>
      <c r="O26">
        <v>1</v>
      </c>
      <c r="P26">
        <v>1</v>
      </c>
      <c r="Q26">
        <v>0</v>
      </c>
      <c r="R26">
        <v>0</v>
      </c>
      <c r="T26" t="s">
        <v>19</v>
      </c>
      <c r="AA26" s="20"/>
      <c r="AB26" s="135"/>
      <c r="AC26" s="14"/>
      <c r="AD26" s="323"/>
      <c r="AE26" s="318"/>
      <c r="AF26" s="31"/>
      <c r="AG26" s="50"/>
      <c r="AH26" s="101"/>
      <c r="AK26">
        <v>1</v>
      </c>
      <c r="AL26">
        <v>0</v>
      </c>
      <c r="AM26">
        <v>1</v>
      </c>
      <c r="AN26">
        <v>1</v>
      </c>
      <c r="AO26">
        <v>0</v>
      </c>
      <c r="AP26">
        <v>0</v>
      </c>
      <c r="AQ26">
        <v>0</v>
      </c>
      <c r="AR26">
        <v>0</v>
      </c>
      <c r="AT26" t="s">
        <v>43</v>
      </c>
      <c r="BA26" s="143"/>
      <c r="BB26" s="31"/>
      <c r="BC26" s="222"/>
      <c r="BD26" s="243"/>
      <c r="BE26" s="319"/>
      <c r="BF26" s="123"/>
      <c r="BG26" s="234"/>
      <c r="BH26" s="100"/>
      <c r="BK26">
        <v>1</v>
      </c>
      <c r="BL26">
        <v>0</v>
      </c>
      <c r="BM26">
        <v>0</v>
      </c>
      <c r="BN26">
        <v>0</v>
      </c>
      <c r="BO26">
        <v>0</v>
      </c>
      <c r="BP26">
        <v>1</v>
      </c>
      <c r="BQ26">
        <v>0</v>
      </c>
      <c r="BR26">
        <v>0</v>
      </c>
      <c r="BT26" t="s">
        <v>67</v>
      </c>
      <c r="CA26" s="415"/>
      <c r="CB26" s="416"/>
      <c r="CC26" s="32"/>
      <c r="CD26" s="55"/>
      <c r="CE26" s="60"/>
      <c r="CF26" s="58"/>
      <c r="CG26" s="417"/>
      <c r="CH26" s="331"/>
      <c r="CK26">
        <v>1</v>
      </c>
      <c r="CL26">
        <v>1</v>
      </c>
      <c r="CM26">
        <v>0</v>
      </c>
      <c r="CN26">
        <v>1</v>
      </c>
      <c r="CO26">
        <v>0</v>
      </c>
      <c r="CP26">
        <v>0</v>
      </c>
      <c r="CQ26">
        <v>0</v>
      </c>
      <c r="CR26">
        <v>1</v>
      </c>
      <c r="CT26" t="s">
        <v>82</v>
      </c>
      <c r="DA26" s="140"/>
      <c r="DB26" s="127"/>
      <c r="DC26" s="64"/>
      <c r="DD26" s="336"/>
      <c r="DE26" s="234"/>
      <c r="DF26" s="11"/>
      <c r="DG26" s="243"/>
      <c r="DH26" s="44"/>
      <c r="DK26">
        <v>1</v>
      </c>
      <c r="DL26">
        <v>1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1</v>
      </c>
      <c r="DT26" t="s">
        <v>103</v>
      </c>
      <c r="EA26" s="326"/>
      <c r="EB26" s="40"/>
      <c r="EC26" s="42"/>
      <c r="ED26" s="633"/>
      <c r="EE26" s="76"/>
      <c r="EF26" s="334"/>
      <c r="EG26" s="242"/>
      <c r="EH26" s="134"/>
      <c r="EK26">
        <v>1</v>
      </c>
      <c r="EL26">
        <v>0</v>
      </c>
      <c r="EM26">
        <v>0</v>
      </c>
      <c r="EN26">
        <v>1</v>
      </c>
      <c r="EO26">
        <v>0</v>
      </c>
      <c r="EP26">
        <v>0</v>
      </c>
      <c r="EQ26">
        <v>1</v>
      </c>
      <c r="ER26">
        <v>1</v>
      </c>
      <c r="ET26" t="s">
        <v>86</v>
      </c>
      <c r="FA26" s="60"/>
      <c r="FB26" s="77"/>
      <c r="FC26" s="124"/>
      <c r="FD26" s="107"/>
      <c r="FE26" s="42"/>
      <c r="FF26" s="210"/>
      <c r="FG26" s="236"/>
      <c r="FH26" s="20"/>
      <c r="FK26">
        <v>0</v>
      </c>
      <c r="FL26">
        <v>0</v>
      </c>
      <c r="FM26">
        <v>0</v>
      </c>
      <c r="FN26">
        <v>1</v>
      </c>
      <c r="FO26">
        <v>0</v>
      </c>
      <c r="FP26">
        <v>0</v>
      </c>
      <c r="FQ26">
        <v>1</v>
      </c>
      <c r="FR26">
        <v>1</v>
      </c>
      <c r="FT26" t="s">
        <v>129</v>
      </c>
    </row>
    <row r="27" spans="1:176" x14ac:dyDescent="0.25">
      <c r="A27" s="113"/>
      <c r="B27" s="115"/>
      <c r="C27" s="90"/>
      <c r="D27" s="102"/>
      <c r="E27" s="70"/>
      <c r="F27" s="52"/>
      <c r="G27" s="89"/>
      <c r="H27" s="120"/>
      <c r="K27">
        <v>0</v>
      </c>
      <c r="L27">
        <v>0</v>
      </c>
      <c r="M27">
        <v>1</v>
      </c>
      <c r="N27">
        <v>1</v>
      </c>
      <c r="O27">
        <v>0</v>
      </c>
      <c r="P27">
        <v>1</v>
      </c>
      <c r="Q27">
        <v>0</v>
      </c>
      <c r="R27">
        <v>0</v>
      </c>
      <c r="T27" t="s">
        <v>11</v>
      </c>
      <c r="AA27" s="96"/>
      <c r="AB27" s="42"/>
      <c r="AC27" s="134"/>
      <c r="AD27" s="323"/>
      <c r="AE27" s="143"/>
      <c r="AF27" s="129"/>
      <c r="AG27" s="30"/>
      <c r="AH27" s="99"/>
      <c r="AK27">
        <v>0</v>
      </c>
      <c r="AL27">
        <v>0</v>
      </c>
      <c r="AM27">
        <v>1</v>
      </c>
      <c r="AN27">
        <v>1</v>
      </c>
      <c r="AO27">
        <v>0</v>
      </c>
      <c r="AP27">
        <v>1</v>
      </c>
      <c r="AQ27">
        <v>0</v>
      </c>
      <c r="AR27">
        <v>1</v>
      </c>
      <c r="AT27" t="s">
        <v>51</v>
      </c>
      <c r="BA27" s="110"/>
      <c r="BB27" s="44"/>
      <c r="BC27" s="102"/>
      <c r="BD27" s="15"/>
      <c r="BE27" s="141"/>
      <c r="BF27" s="89"/>
      <c r="BG27" s="53"/>
      <c r="BH27" s="130"/>
      <c r="BK27">
        <v>0</v>
      </c>
      <c r="BL27">
        <v>0</v>
      </c>
      <c r="BM27">
        <v>1</v>
      </c>
      <c r="BN27">
        <v>1</v>
      </c>
      <c r="BO27">
        <v>0</v>
      </c>
      <c r="BP27">
        <v>1</v>
      </c>
      <c r="BQ27">
        <v>0</v>
      </c>
      <c r="BR27">
        <v>1</v>
      </c>
      <c r="BT27" t="s">
        <v>51</v>
      </c>
      <c r="CA27" s="237"/>
      <c r="CB27" s="418"/>
      <c r="CC27" s="87"/>
      <c r="CD27" s="138"/>
      <c r="CE27" s="338"/>
      <c r="CF27" s="229"/>
      <c r="CG27" s="334"/>
      <c r="CH27" s="44"/>
      <c r="CK27">
        <v>1</v>
      </c>
      <c r="CL27">
        <v>1</v>
      </c>
      <c r="CM27">
        <v>0</v>
      </c>
      <c r="CN27">
        <v>1</v>
      </c>
      <c r="CO27">
        <v>0</v>
      </c>
      <c r="CP27">
        <v>0</v>
      </c>
      <c r="CQ27">
        <v>1</v>
      </c>
      <c r="CR27">
        <v>1</v>
      </c>
      <c r="CT27" t="s">
        <v>49</v>
      </c>
      <c r="DA27" s="32"/>
      <c r="DB27" s="139"/>
      <c r="DC27" s="62"/>
      <c r="DD27" s="40"/>
      <c r="DE27" s="43"/>
      <c r="DF27" s="126"/>
      <c r="DG27" s="118"/>
      <c r="DH27" s="45"/>
      <c r="DK27">
        <v>1</v>
      </c>
      <c r="DL27">
        <v>1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1</v>
      </c>
      <c r="DT27" t="s">
        <v>103</v>
      </c>
      <c r="EA27" s="98"/>
      <c r="EB27" s="20"/>
      <c r="EC27" s="68"/>
      <c r="ED27" s="80"/>
      <c r="EE27" s="10"/>
      <c r="EF27" s="312"/>
      <c r="EG27" s="312"/>
      <c r="EH27" s="9"/>
      <c r="EK27">
        <v>1</v>
      </c>
      <c r="EL27">
        <v>0</v>
      </c>
      <c r="EM27">
        <v>0</v>
      </c>
      <c r="EN27">
        <v>0</v>
      </c>
      <c r="EO27">
        <v>1</v>
      </c>
      <c r="EP27">
        <v>0</v>
      </c>
      <c r="EQ27">
        <v>0</v>
      </c>
      <c r="ER27">
        <v>1</v>
      </c>
      <c r="ET27" t="s">
        <v>108</v>
      </c>
      <c r="FA27" s="12"/>
      <c r="FB27" s="12"/>
      <c r="FC27" s="232"/>
      <c r="FD27" s="134"/>
      <c r="FE27" s="242"/>
      <c r="FF27" s="335"/>
      <c r="FG27" s="9"/>
      <c r="FH27" s="97"/>
      <c r="FK27">
        <v>0</v>
      </c>
      <c r="FL27">
        <v>0</v>
      </c>
      <c r="FM27">
        <v>0</v>
      </c>
      <c r="FN27">
        <v>1</v>
      </c>
      <c r="FO27">
        <v>0</v>
      </c>
      <c r="FP27">
        <v>0</v>
      </c>
      <c r="FQ27">
        <v>1</v>
      </c>
      <c r="FR27">
        <v>1</v>
      </c>
      <c r="FT27" t="s">
        <v>129</v>
      </c>
    </row>
    <row r="28" spans="1:176" x14ac:dyDescent="0.25">
      <c r="A28" s="97"/>
      <c r="B28" s="81"/>
      <c r="C28" s="7"/>
      <c r="D28" s="99"/>
      <c r="E28" s="222"/>
      <c r="F28" s="85"/>
      <c r="G28" s="67"/>
      <c r="H28" s="86"/>
      <c r="K28">
        <v>0</v>
      </c>
      <c r="L28">
        <v>0</v>
      </c>
      <c r="M28">
        <v>1</v>
      </c>
      <c r="N28">
        <v>0</v>
      </c>
      <c r="O28">
        <v>0</v>
      </c>
      <c r="P28">
        <v>1</v>
      </c>
      <c r="Q28">
        <v>0</v>
      </c>
      <c r="R28">
        <v>0</v>
      </c>
      <c r="T28" t="s">
        <v>20</v>
      </c>
      <c r="AA28" s="65"/>
      <c r="AB28" s="31"/>
      <c r="AC28" s="216"/>
      <c r="AD28" s="85"/>
      <c r="AE28" s="323"/>
      <c r="AF28" s="34"/>
      <c r="AG28" s="244"/>
      <c r="AH28" s="235"/>
      <c r="AK28">
        <v>0</v>
      </c>
      <c r="AL28">
        <v>1</v>
      </c>
      <c r="AM28">
        <v>1</v>
      </c>
      <c r="AN28">
        <v>1</v>
      </c>
      <c r="AO28">
        <v>0</v>
      </c>
      <c r="AP28">
        <v>0</v>
      </c>
      <c r="AQ28">
        <v>0</v>
      </c>
      <c r="AR28">
        <v>0</v>
      </c>
      <c r="AT28" t="s">
        <v>46</v>
      </c>
      <c r="BA28" s="309"/>
      <c r="BB28" s="45"/>
      <c r="BC28" s="41"/>
      <c r="BD28" s="20"/>
      <c r="BE28" s="210"/>
      <c r="BF28" s="33"/>
      <c r="BG28" s="242"/>
      <c r="BH28" s="238"/>
      <c r="BK28">
        <v>0</v>
      </c>
      <c r="BL28">
        <v>0</v>
      </c>
      <c r="BM28">
        <v>1</v>
      </c>
      <c r="BN28">
        <v>0</v>
      </c>
      <c r="BO28">
        <v>0</v>
      </c>
      <c r="BP28">
        <v>1</v>
      </c>
      <c r="BQ28">
        <v>0</v>
      </c>
      <c r="BR28">
        <v>0</v>
      </c>
      <c r="BT28" t="s">
        <v>20</v>
      </c>
      <c r="CA28" s="60"/>
      <c r="CB28" s="326"/>
      <c r="CC28" s="98"/>
      <c r="CD28" s="32"/>
      <c r="CE28" s="94"/>
      <c r="CF28" s="59"/>
      <c r="CG28" s="131"/>
      <c r="CH28" s="96"/>
      <c r="CK28">
        <v>1</v>
      </c>
      <c r="CL28">
        <v>1</v>
      </c>
      <c r="CM28">
        <v>0</v>
      </c>
      <c r="CN28">
        <v>1</v>
      </c>
      <c r="CO28">
        <v>0</v>
      </c>
      <c r="CP28">
        <v>1</v>
      </c>
      <c r="CQ28">
        <v>1</v>
      </c>
      <c r="CR28">
        <v>0</v>
      </c>
      <c r="CT28" t="s">
        <v>28</v>
      </c>
      <c r="DA28" s="130"/>
      <c r="DB28" s="98"/>
      <c r="DC28" s="129"/>
      <c r="DD28" s="73"/>
      <c r="DE28" s="210"/>
      <c r="DF28" s="421"/>
      <c r="DG28" s="136"/>
      <c r="DH28" s="239"/>
      <c r="DK28">
        <v>1</v>
      </c>
      <c r="DL28">
        <v>0</v>
      </c>
      <c r="DM28">
        <v>0</v>
      </c>
      <c r="DN28">
        <v>0</v>
      </c>
      <c r="DO28">
        <v>0</v>
      </c>
      <c r="DP28">
        <v>1</v>
      </c>
      <c r="DQ28">
        <v>1</v>
      </c>
      <c r="DR28">
        <v>0</v>
      </c>
      <c r="DT28" t="s">
        <v>91</v>
      </c>
      <c r="EA28" s="16"/>
      <c r="EB28" s="109"/>
      <c r="EC28" s="21"/>
      <c r="ED28" s="313"/>
      <c r="EE28" s="313"/>
      <c r="EF28" s="121"/>
      <c r="EG28" s="14"/>
      <c r="EH28" s="19"/>
      <c r="EK28">
        <v>1</v>
      </c>
      <c r="EL28">
        <v>0</v>
      </c>
      <c r="EM28">
        <v>1</v>
      </c>
      <c r="EN28">
        <v>0</v>
      </c>
      <c r="EO28">
        <v>0</v>
      </c>
      <c r="EP28">
        <v>1</v>
      </c>
      <c r="EQ28">
        <v>1</v>
      </c>
      <c r="ER28">
        <v>0</v>
      </c>
      <c r="ET28" t="s">
        <v>104</v>
      </c>
      <c r="FA28" s="21"/>
      <c r="FB28" s="234"/>
      <c r="FC28" s="137"/>
      <c r="FD28" s="234"/>
      <c r="FE28" s="309"/>
      <c r="FF28" s="564"/>
      <c r="FG28" s="82"/>
      <c r="FH28" s="19"/>
      <c r="FK28">
        <v>1</v>
      </c>
      <c r="FL28">
        <v>0</v>
      </c>
      <c r="FM28">
        <v>0</v>
      </c>
      <c r="FN28">
        <v>1</v>
      </c>
      <c r="FO28">
        <v>0</v>
      </c>
      <c r="FP28">
        <v>1</v>
      </c>
      <c r="FQ28">
        <v>1</v>
      </c>
      <c r="FR28">
        <v>1</v>
      </c>
      <c r="FT28" t="s">
        <v>53</v>
      </c>
    </row>
    <row r="29" spans="1:176" x14ac:dyDescent="0.25">
      <c r="A29" s="223"/>
      <c r="B29" s="224"/>
      <c r="C29" s="215"/>
      <c r="D29" s="29"/>
      <c r="E29" s="225"/>
      <c r="F29" s="127"/>
      <c r="G29" s="226"/>
      <c r="H29" s="104"/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1</v>
      </c>
      <c r="R29">
        <v>0</v>
      </c>
      <c r="T29" t="s">
        <v>21</v>
      </c>
      <c r="AA29" s="322"/>
      <c r="AB29" s="126"/>
      <c r="AC29" s="308"/>
      <c r="AD29" s="77"/>
      <c r="AE29" s="27"/>
      <c r="AF29" s="99"/>
      <c r="AG29" s="50"/>
      <c r="AH29" s="405"/>
      <c r="AK29">
        <v>0</v>
      </c>
      <c r="AL29">
        <v>1</v>
      </c>
      <c r="AM29">
        <v>1</v>
      </c>
      <c r="AN29">
        <v>0</v>
      </c>
      <c r="AO29">
        <v>0</v>
      </c>
      <c r="AP29">
        <v>1</v>
      </c>
      <c r="AQ29">
        <v>0</v>
      </c>
      <c r="AR29">
        <v>0</v>
      </c>
      <c r="AT29" t="s">
        <v>52</v>
      </c>
      <c r="BA29" s="80"/>
      <c r="BB29" s="243"/>
      <c r="BC29" s="230"/>
      <c r="BD29" s="215"/>
      <c r="BE29" s="88"/>
      <c r="BF29" s="15"/>
      <c r="BG29" s="78"/>
      <c r="BH29" s="320"/>
      <c r="BK29">
        <v>0</v>
      </c>
      <c r="BL29">
        <v>0</v>
      </c>
      <c r="BM29">
        <v>1</v>
      </c>
      <c r="BN29">
        <v>1</v>
      </c>
      <c r="BO29">
        <v>0</v>
      </c>
      <c r="BP29">
        <v>1</v>
      </c>
      <c r="BQ29">
        <v>0</v>
      </c>
      <c r="BR29">
        <v>0</v>
      </c>
      <c r="BT29" t="s">
        <v>11</v>
      </c>
      <c r="CA29" s="241"/>
      <c r="CB29" s="419"/>
      <c r="CC29" s="124"/>
      <c r="CD29" s="420"/>
      <c r="CE29" s="105"/>
      <c r="CF29" s="133"/>
      <c r="CG29" s="421"/>
      <c r="CH29" s="308"/>
      <c r="CK29">
        <v>1</v>
      </c>
      <c r="CL29">
        <v>0</v>
      </c>
      <c r="CM29">
        <v>1</v>
      </c>
      <c r="CN29">
        <v>1</v>
      </c>
      <c r="CO29">
        <v>0</v>
      </c>
      <c r="CP29">
        <v>1</v>
      </c>
      <c r="CQ29">
        <v>0</v>
      </c>
      <c r="CR29">
        <v>1</v>
      </c>
      <c r="CT29" t="s">
        <v>89</v>
      </c>
      <c r="DA29" s="109"/>
      <c r="DB29" s="406"/>
      <c r="DC29" s="126"/>
      <c r="DD29" s="309"/>
      <c r="DE29" s="565"/>
      <c r="DF29" s="86"/>
      <c r="DG29" s="221"/>
      <c r="DH29" s="122"/>
      <c r="DK29">
        <v>1</v>
      </c>
      <c r="DL29">
        <v>0</v>
      </c>
      <c r="DM29">
        <v>1</v>
      </c>
      <c r="DN29">
        <v>0</v>
      </c>
      <c r="DO29">
        <v>0</v>
      </c>
      <c r="DP29">
        <v>1</v>
      </c>
      <c r="DQ29">
        <v>1</v>
      </c>
      <c r="DR29">
        <v>0</v>
      </c>
      <c r="DT29" t="s">
        <v>104</v>
      </c>
      <c r="EA29" s="244"/>
      <c r="EB29" s="565"/>
      <c r="EC29" s="40"/>
      <c r="ED29" s="332"/>
      <c r="EE29" s="324"/>
      <c r="EF29" s="25"/>
      <c r="EG29" s="11"/>
      <c r="EH29" s="406"/>
      <c r="EK29">
        <v>0</v>
      </c>
      <c r="EL29">
        <v>0</v>
      </c>
      <c r="EM29">
        <v>1</v>
      </c>
      <c r="EN29">
        <v>0</v>
      </c>
      <c r="EO29">
        <v>0</v>
      </c>
      <c r="EP29">
        <v>1</v>
      </c>
      <c r="EQ29">
        <v>0</v>
      </c>
      <c r="ER29">
        <v>1</v>
      </c>
      <c r="ET29" t="s">
        <v>144</v>
      </c>
      <c r="FA29" s="136"/>
      <c r="FB29" s="44"/>
      <c r="FC29" s="68"/>
      <c r="FD29" s="122"/>
      <c r="FE29" s="210"/>
      <c r="FF29" s="72"/>
      <c r="FG29" s="82"/>
      <c r="FH29" s="30"/>
      <c r="FK29">
        <v>0</v>
      </c>
      <c r="FL29">
        <v>0</v>
      </c>
      <c r="FM29">
        <v>1</v>
      </c>
      <c r="FN29">
        <v>0</v>
      </c>
      <c r="FO29">
        <v>0</v>
      </c>
      <c r="FP29">
        <v>1</v>
      </c>
      <c r="FQ29">
        <v>1</v>
      </c>
      <c r="FR29">
        <v>1</v>
      </c>
      <c r="FT29" t="s">
        <v>127</v>
      </c>
    </row>
    <row r="30" spans="1:176" x14ac:dyDescent="0.25">
      <c r="A30" s="221"/>
      <c r="B30" s="42"/>
      <c r="C30" s="100"/>
      <c r="D30" s="118"/>
      <c r="E30" s="227"/>
      <c r="F30" s="219"/>
      <c r="G30" s="146"/>
      <c r="H30" s="228"/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T30" t="s">
        <v>22</v>
      </c>
      <c r="AA30" s="238"/>
      <c r="AB30" s="59"/>
      <c r="AC30" s="45"/>
      <c r="AD30" s="217"/>
      <c r="AE30" s="228"/>
      <c r="AF30" s="322"/>
      <c r="AG30" s="80"/>
      <c r="AH30" s="406"/>
      <c r="AK30">
        <v>1</v>
      </c>
      <c r="AL30">
        <v>0</v>
      </c>
      <c r="AM30">
        <v>1</v>
      </c>
      <c r="AN30">
        <v>0</v>
      </c>
      <c r="AO30">
        <v>0</v>
      </c>
      <c r="AP30">
        <v>1</v>
      </c>
      <c r="AQ30">
        <v>0</v>
      </c>
      <c r="AR30">
        <v>1</v>
      </c>
      <c r="AT30" t="s">
        <v>48</v>
      </c>
      <c r="BA30" s="137"/>
      <c r="BB30" s="221"/>
      <c r="BC30" s="74"/>
      <c r="BD30" s="46"/>
      <c r="BE30" s="114"/>
      <c r="BF30" s="321"/>
      <c r="BG30" s="322"/>
      <c r="BH30" s="218"/>
      <c r="BK30">
        <v>1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1</v>
      </c>
      <c r="BR30">
        <v>0</v>
      </c>
      <c r="BT30" t="s">
        <v>64</v>
      </c>
      <c r="CA30" s="113"/>
      <c r="CB30" s="329"/>
      <c r="CC30" s="318"/>
      <c r="CD30" s="42"/>
      <c r="CE30" s="334"/>
      <c r="CF30" s="322"/>
      <c r="CG30" s="9"/>
      <c r="CH30" s="97"/>
      <c r="CK30">
        <v>0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1</v>
      </c>
      <c r="CR30">
        <v>1</v>
      </c>
      <c r="CT30" t="s">
        <v>85</v>
      </c>
      <c r="DA30" s="236"/>
      <c r="DB30" s="18"/>
      <c r="DC30" s="21"/>
      <c r="DD30" s="121"/>
      <c r="DE30" s="335"/>
      <c r="DF30" s="119"/>
      <c r="DG30" s="223"/>
      <c r="DH30" s="67"/>
      <c r="DK30">
        <v>1</v>
      </c>
      <c r="DL30">
        <v>1</v>
      </c>
      <c r="DM30">
        <v>1</v>
      </c>
      <c r="DN30">
        <v>0</v>
      </c>
      <c r="DO30">
        <v>0</v>
      </c>
      <c r="DP30">
        <v>1</v>
      </c>
      <c r="DQ30">
        <v>0</v>
      </c>
      <c r="DR30">
        <v>1</v>
      </c>
      <c r="DT30" t="s">
        <v>105</v>
      </c>
      <c r="EA30" s="57"/>
      <c r="EB30" s="231"/>
      <c r="EC30" s="632"/>
      <c r="ED30" s="319"/>
      <c r="EE30" s="79"/>
      <c r="EF30" s="414"/>
      <c r="EG30" s="73"/>
      <c r="EH30" s="121"/>
      <c r="EK30">
        <v>1</v>
      </c>
      <c r="EL30">
        <v>0</v>
      </c>
      <c r="EM30">
        <v>1</v>
      </c>
      <c r="EN30">
        <v>0</v>
      </c>
      <c r="EO30">
        <v>0</v>
      </c>
      <c r="EP30">
        <v>1</v>
      </c>
      <c r="EQ30">
        <v>1</v>
      </c>
      <c r="ER30">
        <v>1</v>
      </c>
      <c r="ET30" t="s">
        <v>145</v>
      </c>
      <c r="FA30" s="43"/>
      <c r="FB30" s="312"/>
      <c r="FC30" s="312"/>
      <c r="FD30" s="86"/>
      <c r="FE30" s="104"/>
      <c r="FF30" s="331"/>
      <c r="FG30" s="110"/>
      <c r="FH30" s="23"/>
      <c r="FK30">
        <v>0</v>
      </c>
      <c r="FL30">
        <v>0</v>
      </c>
      <c r="FM30">
        <v>0</v>
      </c>
      <c r="FN30">
        <v>1</v>
      </c>
      <c r="FO30">
        <v>0</v>
      </c>
      <c r="FP30">
        <v>0</v>
      </c>
      <c r="FQ30">
        <v>1</v>
      </c>
      <c r="FR30">
        <v>1</v>
      </c>
      <c r="FT30" t="s">
        <v>129</v>
      </c>
    </row>
    <row r="31" spans="1:176" x14ac:dyDescent="0.25">
      <c r="A31" s="112"/>
      <c r="B31" s="100"/>
      <c r="C31" s="69"/>
      <c r="D31" s="40"/>
      <c r="E31" s="96"/>
      <c r="F31" s="112"/>
      <c r="G31" s="136"/>
      <c r="H31" s="68"/>
      <c r="K31">
        <v>1</v>
      </c>
      <c r="L31">
        <v>1</v>
      </c>
      <c r="M31">
        <v>0</v>
      </c>
      <c r="N31">
        <v>1</v>
      </c>
      <c r="O31">
        <v>0</v>
      </c>
      <c r="P31">
        <v>0</v>
      </c>
      <c r="Q31">
        <v>1</v>
      </c>
      <c r="R31">
        <v>0</v>
      </c>
      <c r="T31" t="s">
        <v>23</v>
      </c>
      <c r="AA31" s="138"/>
      <c r="AB31" s="138"/>
      <c r="AC31" s="234"/>
      <c r="AD31" s="40"/>
      <c r="AE31" s="244"/>
      <c r="AF31" s="137"/>
      <c r="AG31" s="53"/>
      <c r="AH31" s="135"/>
      <c r="AK31">
        <v>1</v>
      </c>
      <c r="AL31">
        <v>0</v>
      </c>
      <c r="AM31">
        <v>0</v>
      </c>
      <c r="AN31">
        <v>1</v>
      </c>
      <c r="AO31">
        <v>0</v>
      </c>
      <c r="AP31">
        <v>1</v>
      </c>
      <c r="AQ31">
        <v>1</v>
      </c>
      <c r="AR31">
        <v>1</v>
      </c>
      <c r="AT31" t="s">
        <v>53</v>
      </c>
      <c r="BA31" s="112"/>
      <c r="BB31" s="40"/>
      <c r="BC31" s="69"/>
      <c r="BD31" s="53"/>
      <c r="BE31" s="112"/>
      <c r="BF31" s="133"/>
      <c r="BG31" s="96"/>
      <c r="BH31" s="69"/>
      <c r="BK31">
        <v>1</v>
      </c>
      <c r="BL31">
        <v>1</v>
      </c>
      <c r="BM31">
        <v>0</v>
      </c>
      <c r="BN31">
        <v>1</v>
      </c>
      <c r="BO31">
        <v>0</v>
      </c>
      <c r="BP31">
        <v>0</v>
      </c>
      <c r="BQ31">
        <v>1</v>
      </c>
      <c r="BR31">
        <v>0</v>
      </c>
      <c r="BT31" t="s">
        <v>23</v>
      </c>
      <c r="CA31" s="27"/>
      <c r="CB31" s="19"/>
      <c r="CC31" s="219"/>
      <c r="CD31" s="14"/>
      <c r="CE31" s="44"/>
      <c r="CF31" s="409"/>
      <c r="CG31" s="69"/>
      <c r="CH31" s="57"/>
      <c r="CK31">
        <v>1</v>
      </c>
      <c r="CL31">
        <v>0</v>
      </c>
      <c r="CM31">
        <v>0</v>
      </c>
      <c r="CN31">
        <v>1</v>
      </c>
      <c r="CO31">
        <v>0</v>
      </c>
      <c r="CP31">
        <v>0</v>
      </c>
      <c r="CQ31">
        <v>1</v>
      </c>
      <c r="CR31">
        <v>0</v>
      </c>
      <c r="CT31" t="s">
        <v>32</v>
      </c>
      <c r="DA31" s="122"/>
      <c r="DB31" s="101"/>
      <c r="DC31" s="221"/>
      <c r="DD31" s="9"/>
      <c r="DE31" s="330"/>
      <c r="DF31" s="227"/>
      <c r="DG31" s="97"/>
      <c r="DH31" s="76"/>
      <c r="DK31">
        <v>0</v>
      </c>
      <c r="DL31">
        <v>1</v>
      </c>
      <c r="DM31">
        <v>0</v>
      </c>
      <c r="DN31">
        <v>0</v>
      </c>
      <c r="DO31">
        <v>0</v>
      </c>
      <c r="DP31">
        <v>0</v>
      </c>
      <c r="DQ31">
        <v>1</v>
      </c>
      <c r="DR31">
        <v>1</v>
      </c>
      <c r="DT31" t="s">
        <v>85</v>
      </c>
      <c r="EA31" s="410"/>
      <c r="EB31" s="322"/>
      <c r="EC31" s="87"/>
      <c r="ED31" s="564"/>
      <c r="EE31" s="317"/>
      <c r="EF31" s="78"/>
      <c r="EG31" s="318"/>
      <c r="EH31" s="334"/>
      <c r="EK31">
        <v>0</v>
      </c>
      <c r="EL31">
        <v>1</v>
      </c>
      <c r="EM31">
        <v>0</v>
      </c>
      <c r="EN31">
        <v>1</v>
      </c>
      <c r="EO31">
        <v>1</v>
      </c>
      <c r="EP31">
        <v>0</v>
      </c>
      <c r="EQ31">
        <v>1</v>
      </c>
      <c r="ER31">
        <v>0</v>
      </c>
      <c r="ET31" t="s">
        <v>141</v>
      </c>
      <c r="FA31" s="97"/>
      <c r="FB31" s="86"/>
      <c r="FC31" s="28"/>
      <c r="FD31" s="125"/>
      <c r="FE31" s="45"/>
      <c r="FF31" s="78"/>
      <c r="FG31" s="244"/>
      <c r="FH31" s="45"/>
      <c r="FK31">
        <v>1</v>
      </c>
      <c r="FL31">
        <v>0</v>
      </c>
      <c r="FM31">
        <v>1</v>
      </c>
      <c r="FN31">
        <v>0</v>
      </c>
      <c r="FO31">
        <v>0</v>
      </c>
      <c r="FP31">
        <v>0</v>
      </c>
      <c r="FQ31">
        <v>1</v>
      </c>
      <c r="FR31">
        <v>0</v>
      </c>
      <c r="FT31" t="s">
        <v>17</v>
      </c>
    </row>
    <row r="32" spans="1:176" x14ac:dyDescent="0.25">
      <c r="K32">
        <v>6</v>
      </c>
      <c r="T32" t="s">
        <v>24</v>
      </c>
      <c r="AK32">
        <v>4</v>
      </c>
      <c r="AT32" t="s">
        <v>54</v>
      </c>
      <c r="BK32">
        <v>6</v>
      </c>
      <c r="BT32" t="s">
        <v>68</v>
      </c>
      <c r="CK32">
        <v>5</v>
      </c>
      <c r="CT32" t="s">
        <v>90</v>
      </c>
      <c r="DK32">
        <v>11</v>
      </c>
      <c r="DT32" t="s">
        <v>106</v>
      </c>
      <c r="EK32">
        <v>6</v>
      </c>
      <c r="ET32" t="s">
        <v>146</v>
      </c>
      <c r="FK32">
        <v>9</v>
      </c>
      <c r="FT32" t="s">
        <v>130</v>
      </c>
    </row>
    <row r="33" spans="1:176" x14ac:dyDescent="0.25">
      <c r="T33">
        <v>28</v>
      </c>
      <c r="AT33">
        <v>26</v>
      </c>
      <c r="BT33">
        <v>26</v>
      </c>
      <c r="CT33">
        <v>28</v>
      </c>
      <c r="DT33">
        <v>22</v>
      </c>
      <c r="ET33">
        <v>28</v>
      </c>
      <c r="FT33">
        <v>35</v>
      </c>
    </row>
    <row r="34" spans="1:176" x14ac:dyDescent="0.25">
      <c r="A34" s="27"/>
      <c r="B34" s="16"/>
      <c r="C34" s="6"/>
      <c r="D34" s="60"/>
      <c r="E34" s="20"/>
      <c r="F34" s="62"/>
      <c r="G34" s="63"/>
      <c r="H34" s="27"/>
      <c r="K34">
        <v>1</v>
      </c>
      <c r="L34">
        <v>1</v>
      </c>
      <c r="M34">
        <v>1</v>
      </c>
      <c r="N34">
        <v>1</v>
      </c>
      <c r="O34">
        <v>0</v>
      </c>
      <c r="P34">
        <v>1</v>
      </c>
      <c r="Q34">
        <v>1</v>
      </c>
      <c r="R34">
        <v>0</v>
      </c>
      <c r="T34" t="s">
        <v>25</v>
      </c>
      <c r="AA34" s="116"/>
      <c r="AB34" s="50"/>
      <c r="AC34" s="50"/>
      <c r="AD34" s="143"/>
      <c r="AE34" s="135"/>
      <c r="AF34" s="50"/>
      <c r="AG34" s="50"/>
      <c r="AH34" s="34"/>
      <c r="AK34">
        <v>0</v>
      </c>
      <c r="AL34">
        <v>1</v>
      </c>
      <c r="AM34">
        <v>0</v>
      </c>
      <c r="AN34">
        <v>1</v>
      </c>
      <c r="AO34">
        <v>0</v>
      </c>
      <c r="AP34">
        <v>0</v>
      </c>
      <c r="AQ34">
        <v>0</v>
      </c>
      <c r="AR34">
        <v>1</v>
      </c>
      <c r="AT34" t="s">
        <v>55</v>
      </c>
      <c r="BA34" s="138"/>
      <c r="BB34" s="18"/>
      <c r="BC34" s="134"/>
      <c r="BD34" s="134"/>
      <c r="BE34" s="14"/>
      <c r="BF34" s="323"/>
      <c r="BG34" s="4"/>
      <c r="BH34" s="134"/>
      <c r="BK34">
        <v>1</v>
      </c>
      <c r="BL34">
        <v>1</v>
      </c>
      <c r="BM34">
        <v>1</v>
      </c>
      <c r="BN34">
        <v>0</v>
      </c>
      <c r="BO34">
        <v>0</v>
      </c>
      <c r="BP34">
        <v>1</v>
      </c>
      <c r="BQ34">
        <v>1</v>
      </c>
      <c r="BR34">
        <v>0</v>
      </c>
      <c r="BT34" t="s">
        <v>30</v>
      </c>
      <c r="CA34" s="108"/>
      <c r="CB34" s="66"/>
      <c r="CC34" s="103"/>
      <c r="CD34" s="328"/>
      <c r="CE34" s="422"/>
      <c r="CF34" s="118"/>
      <c r="CG34" s="75"/>
      <c r="CH34" s="423"/>
      <c r="CK34">
        <v>1</v>
      </c>
      <c r="CL34">
        <v>0</v>
      </c>
      <c r="CM34">
        <v>1</v>
      </c>
      <c r="CN34">
        <v>1</v>
      </c>
      <c r="CO34">
        <v>0</v>
      </c>
      <c r="CP34">
        <v>0</v>
      </c>
      <c r="CQ34">
        <v>0</v>
      </c>
      <c r="CR34">
        <v>1</v>
      </c>
      <c r="CT34" t="s">
        <v>84</v>
      </c>
      <c r="DA34" s="425"/>
      <c r="DB34" s="103"/>
      <c r="DC34" s="226"/>
      <c r="DD34" s="216"/>
      <c r="DE34" s="232"/>
      <c r="DF34" s="231"/>
      <c r="DG34" s="111"/>
      <c r="DH34" s="411"/>
      <c r="DK34">
        <v>1</v>
      </c>
      <c r="DL34">
        <v>0</v>
      </c>
      <c r="DM34">
        <v>1</v>
      </c>
      <c r="DN34">
        <v>0</v>
      </c>
      <c r="DO34">
        <v>0</v>
      </c>
      <c r="DP34">
        <v>0</v>
      </c>
      <c r="DQ34">
        <v>0</v>
      </c>
      <c r="DR34">
        <v>1</v>
      </c>
      <c r="DT34" t="s">
        <v>107</v>
      </c>
      <c r="EA34" s="80"/>
      <c r="EB34" s="404"/>
      <c r="EC34" s="48"/>
      <c r="ED34" s="39"/>
      <c r="EE34" s="134"/>
      <c r="EF34" s="124"/>
      <c r="EG34" s="40"/>
      <c r="EH34" s="65"/>
      <c r="EK34">
        <v>1</v>
      </c>
      <c r="EL34">
        <v>0</v>
      </c>
      <c r="EM34">
        <v>1</v>
      </c>
      <c r="EN34">
        <v>1</v>
      </c>
      <c r="EO34">
        <v>1</v>
      </c>
      <c r="EP34">
        <v>0</v>
      </c>
      <c r="EQ34">
        <v>1</v>
      </c>
      <c r="ER34">
        <v>0</v>
      </c>
      <c r="ET34" t="s">
        <v>147</v>
      </c>
      <c r="FA34" s="337"/>
      <c r="FB34" s="419"/>
      <c r="FC34" s="25"/>
      <c r="FD34" s="318"/>
      <c r="FE34" s="63"/>
      <c r="FF34" s="307"/>
      <c r="FG34" s="21"/>
      <c r="FH34" s="122"/>
      <c r="FK34">
        <v>1</v>
      </c>
      <c r="FL34">
        <v>0</v>
      </c>
      <c r="FM34">
        <v>1</v>
      </c>
      <c r="FN34">
        <v>1</v>
      </c>
      <c r="FO34">
        <v>1</v>
      </c>
      <c r="FP34">
        <v>1</v>
      </c>
      <c r="FQ34">
        <v>0</v>
      </c>
      <c r="FR34">
        <v>0</v>
      </c>
      <c r="FT34" t="s">
        <v>131</v>
      </c>
    </row>
    <row r="35" spans="1:176" x14ac:dyDescent="0.25">
      <c r="A35" s="65"/>
      <c r="B35" s="67"/>
      <c r="C35" s="68"/>
      <c r="D35" s="69"/>
      <c r="E35" s="57"/>
      <c r="F35" s="69"/>
      <c r="G35" s="73"/>
      <c r="H35" s="23"/>
      <c r="K35">
        <v>0</v>
      </c>
      <c r="L35">
        <v>1</v>
      </c>
      <c r="M35">
        <v>0</v>
      </c>
      <c r="N35">
        <v>1</v>
      </c>
      <c r="O35">
        <v>0</v>
      </c>
      <c r="P35">
        <v>1</v>
      </c>
      <c r="Q35">
        <v>0</v>
      </c>
      <c r="R35">
        <v>0</v>
      </c>
      <c r="T35" t="s">
        <v>9</v>
      </c>
      <c r="AA35" s="73"/>
      <c r="AB35" s="100"/>
      <c r="AC35" s="116"/>
      <c r="AD35" s="39"/>
      <c r="AE35" s="116"/>
      <c r="AF35" s="100"/>
      <c r="AG35" s="112"/>
      <c r="AH35" s="221"/>
      <c r="AK35">
        <v>0</v>
      </c>
      <c r="AL35">
        <v>1</v>
      </c>
      <c r="AM35">
        <v>1</v>
      </c>
      <c r="AN35">
        <v>1</v>
      </c>
      <c r="AO35">
        <v>0</v>
      </c>
      <c r="AP35">
        <v>0</v>
      </c>
      <c r="AQ35">
        <v>0</v>
      </c>
      <c r="AR35">
        <v>0</v>
      </c>
      <c r="AT35" t="s">
        <v>46</v>
      </c>
      <c r="BA35" s="126"/>
      <c r="BB35" s="76"/>
      <c r="BC35" s="97"/>
      <c r="BD35" s="137"/>
      <c r="BE35" s="25"/>
      <c r="BF35" s="221"/>
      <c r="BG35" s="68"/>
      <c r="BH35" s="76"/>
      <c r="BK35">
        <v>0</v>
      </c>
      <c r="BL35">
        <v>0</v>
      </c>
      <c r="BM35">
        <v>0</v>
      </c>
      <c r="BN35">
        <v>1</v>
      </c>
      <c r="BO35">
        <v>0</v>
      </c>
      <c r="BP35">
        <v>1</v>
      </c>
      <c r="BQ35">
        <v>0</v>
      </c>
      <c r="BR35">
        <v>0</v>
      </c>
      <c r="BT35" t="s">
        <v>66</v>
      </c>
      <c r="CA35" s="424"/>
      <c r="CB35" s="425"/>
      <c r="CC35" s="425"/>
      <c r="CD35" s="8"/>
      <c r="CE35" s="321"/>
      <c r="CF35" s="426"/>
      <c r="CG35" s="427"/>
      <c r="CH35" s="111"/>
      <c r="CK35">
        <v>1</v>
      </c>
      <c r="CL35">
        <v>0</v>
      </c>
      <c r="CM35">
        <v>0</v>
      </c>
      <c r="CN35">
        <v>0</v>
      </c>
      <c r="CO35">
        <v>0</v>
      </c>
      <c r="CP35">
        <v>1</v>
      </c>
      <c r="CQ35">
        <v>1</v>
      </c>
      <c r="CR35">
        <v>0</v>
      </c>
      <c r="CT35" t="s">
        <v>91</v>
      </c>
      <c r="DA35" s="47"/>
      <c r="DB35" s="412"/>
      <c r="DC35" s="425"/>
      <c r="DD35" s="54"/>
      <c r="DE35" s="327"/>
      <c r="DF35" s="331"/>
      <c r="DG35" s="427"/>
      <c r="DH35" s="224"/>
      <c r="DK35">
        <v>1</v>
      </c>
      <c r="DL35">
        <v>1</v>
      </c>
      <c r="DM35">
        <v>0</v>
      </c>
      <c r="DN35">
        <v>0</v>
      </c>
      <c r="DO35">
        <v>0</v>
      </c>
      <c r="DP35">
        <v>0</v>
      </c>
      <c r="DQ35">
        <v>1</v>
      </c>
      <c r="DR35">
        <v>0</v>
      </c>
      <c r="DT35" t="s">
        <v>22</v>
      </c>
      <c r="EA35" s="72"/>
      <c r="EB35" s="213"/>
      <c r="EC35" s="418"/>
      <c r="ED35" s="93"/>
      <c r="EE35" s="142"/>
      <c r="EF35" s="107"/>
      <c r="EG35" s="234"/>
      <c r="EH35" s="39"/>
      <c r="EK35">
        <v>0</v>
      </c>
      <c r="EL35">
        <v>1</v>
      </c>
      <c r="EM35">
        <v>1</v>
      </c>
      <c r="EN35">
        <v>1</v>
      </c>
      <c r="EO35">
        <v>0</v>
      </c>
      <c r="EP35">
        <v>0</v>
      </c>
      <c r="EQ35">
        <v>0</v>
      </c>
      <c r="ER35">
        <v>1</v>
      </c>
      <c r="ET35" t="s">
        <v>45</v>
      </c>
      <c r="FA35" s="406"/>
      <c r="FB35" s="122"/>
      <c r="FC35" s="323"/>
      <c r="FD35" s="408"/>
      <c r="FE35" s="241"/>
      <c r="FF35" s="26"/>
      <c r="FG35" s="50"/>
      <c r="FH35" s="53"/>
      <c r="FK35">
        <v>0</v>
      </c>
      <c r="FL35">
        <v>1</v>
      </c>
      <c r="FM35">
        <v>1</v>
      </c>
      <c r="FN35">
        <v>1</v>
      </c>
      <c r="FO35">
        <v>0</v>
      </c>
      <c r="FP35">
        <v>0</v>
      </c>
      <c r="FQ35">
        <v>1</v>
      </c>
      <c r="FR35">
        <v>0</v>
      </c>
      <c r="FT35" t="s">
        <v>132</v>
      </c>
    </row>
    <row r="36" spans="1:176" x14ac:dyDescent="0.25">
      <c r="A36" s="74"/>
      <c r="B36" s="76"/>
      <c r="C36" s="78"/>
      <c r="D36" s="48"/>
      <c r="E36" s="76"/>
      <c r="F36" s="74"/>
      <c r="G36" s="82"/>
      <c r="H36" s="83"/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>
        <v>0</v>
      </c>
      <c r="R36">
        <v>0</v>
      </c>
      <c r="T36" t="s">
        <v>26</v>
      </c>
      <c r="AA36" s="133"/>
      <c r="AB36" s="67"/>
      <c r="AC36" s="73"/>
      <c r="AD36" s="40"/>
      <c r="AE36" s="136"/>
      <c r="AF36" s="73"/>
      <c r="AG36" s="68"/>
      <c r="AH36" s="126"/>
      <c r="AK36">
        <v>0</v>
      </c>
      <c r="AL36">
        <v>0</v>
      </c>
      <c r="AM36">
        <v>1</v>
      </c>
      <c r="AN36">
        <v>1</v>
      </c>
      <c r="AO36">
        <v>0</v>
      </c>
      <c r="AP36">
        <v>0</v>
      </c>
      <c r="AQ36">
        <v>0</v>
      </c>
      <c r="AR36">
        <v>0</v>
      </c>
      <c r="AT36" t="s">
        <v>12</v>
      </c>
      <c r="BA36" s="67"/>
      <c r="BB36" s="126"/>
      <c r="BC36" s="218"/>
      <c r="BD36" s="324"/>
      <c r="BE36" s="325"/>
      <c r="BF36" s="57"/>
      <c r="BG36" s="119"/>
      <c r="BH36" s="113"/>
      <c r="BK36">
        <v>1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0</v>
      </c>
      <c r="BR36">
        <v>1</v>
      </c>
      <c r="BT36" t="s">
        <v>69</v>
      </c>
      <c r="CA36" s="425"/>
      <c r="CB36" s="230"/>
      <c r="CC36" s="102"/>
      <c r="CD36" s="29"/>
      <c r="CE36" s="416"/>
      <c r="CF36" s="333"/>
      <c r="CG36" s="333"/>
      <c r="CH36" s="333"/>
      <c r="CK36">
        <v>1</v>
      </c>
      <c r="CL36">
        <v>1</v>
      </c>
      <c r="CM36">
        <v>1</v>
      </c>
      <c r="CN36">
        <v>0</v>
      </c>
      <c r="CO36">
        <v>0</v>
      </c>
      <c r="CP36">
        <v>0</v>
      </c>
      <c r="CQ36">
        <v>0</v>
      </c>
      <c r="CR36">
        <v>0</v>
      </c>
      <c r="CT36" t="s">
        <v>44</v>
      </c>
      <c r="DA36" s="47"/>
      <c r="DB36" s="15"/>
      <c r="DC36" s="92"/>
      <c r="DD36" s="127"/>
      <c r="DE36" s="116"/>
      <c r="DF36" s="563"/>
      <c r="DG36" s="227"/>
      <c r="DH36" s="229"/>
      <c r="DK36">
        <v>1</v>
      </c>
      <c r="DL36">
        <v>1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1</v>
      </c>
      <c r="DT36" t="s">
        <v>103</v>
      </c>
      <c r="EA36" s="31"/>
      <c r="EB36" s="221"/>
      <c r="EC36" s="124"/>
      <c r="ED36" s="33"/>
      <c r="EE36" s="100"/>
      <c r="EF36" s="87"/>
      <c r="EG36" s="42"/>
      <c r="EH36" s="42"/>
      <c r="EK36">
        <v>1</v>
      </c>
      <c r="EL36">
        <v>0</v>
      </c>
      <c r="EM36">
        <v>1</v>
      </c>
      <c r="EN36">
        <v>1</v>
      </c>
      <c r="EO36">
        <v>0</v>
      </c>
      <c r="EP36">
        <v>0</v>
      </c>
      <c r="EQ36">
        <v>1</v>
      </c>
      <c r="ER36">
        <v>0</v>
      </c>
      <c r="ET36" t="s">
        <v>148</v>
      </c>
      <c r="FA36" s="238"/>
      <c r="FB36" s="42"/>
      <c r="FC36" s="12"/>
      <c r="FD36" s="308"/>
      <c r="FE36" s="234"/>
      <c r="FF36" s="87"/>
      <c r="FG36" s="97"/>
      <c r="FH36" s="112"/>
      <c r="FK36">
        <v>0</v>
      </c>
      <c r="FL36">
        <v>1</v>
      </c>
      <c r="FM36">
        <v>1</v>
      </c>
      <c r="FN36">
        <v>1</v>
      </c>
      <c r="FO36">
        <v>0</v>
      </c>
      <c r="FP36">
        <v>0</v>
      </c>
      <c r="FQ36">
        <v>1</v>
      </c>
      <c r="FR36">
        <v>1</v>
      </c>
      <c r="FT36" t="s">
        <v>126</v>
      </c>
    </row>
    <row r="37" spans="1:176" x14ac:dyDescent="0.25">
      <c r="A37" s="84"/>
      <c r="B37" s="86"/>
      <c r="C37" s="88"/>
      <c r="D37" s="90"/>
      <c r="E37" s="56"/>
      <c r="F37" s="92"/>
      <c r="G37" s="93"/>
      <c r="H37" s="95"/>
      <c r="K37">
        <v>1</v>
      </c>
      <c r="L37">
        <v>0</v>
      </c>
      <c r="M37">
        <v>1</v>
      </c>
      <c r="N37">
        <v>1</v>
      </c>
      <c r="O37">
        <v>0</v>
      </c>
      <c r="P37">
        <v>1</v>
      </c>
      <c r="Q37">
        <v>0</v>
      </c>
      <c r="R37">
        <v>0</v>
      </c>
      <c r="T37" t="s">
        <v>27</v>
      </c>
      <c r="AA37" s="23"/>
      <c r="AB37" s="76"/>
      <c r="AC37" s="24"/>
      <c r="AD37" s="19"/>
      <c r="AE37" s="109"/>
      <c r="AF37" s="318"/>
      <c r="AG37" s="26"/>
      <c r="AH37" s="99"/>
      <c r="AK37">
        <v>0</v>
      </c>
      <c r="AL37">
        <v>1</v>
      </c>
      <c r="AM37">
        <v>1</v>
      </c>
      <c r="AN37">
        <v>0</v>
      </c>
      <c r="AO37">
        <v>0</v>
      </c>
      <c r="AP37">
        <v>1</v>
      </c>
      <c r="AQ37">
        <v>0</v>
      </c>
      <c r="AR37">
        <v>1</v>
      </c>
      <c r="AT37" t="s">
        <v>56</v>
      </c>
      <c r="BA37" s="238"/>
      <c r="BB37" s="105"/>
      <c r="BC37" s="47"/>
      <c r="BD37" s="29"/>
      <c r="BE37" s="326"/>
      <c r="BF37" s="89"/>
      <c r="BG37" s="18"/>
      <c r="BH37" s="317"/>
      <c r="BK37">
        <v>0</v>
      </c>
      <c r="BL37">
        <v>1</v>
      </c>
      <c r="BM37">
        <v>1</v>
      </c>
      <c r="BN37">
        <v>1</v>
      </c>
      <c r="BO37">
        <v>0</v>
      </c>
      <c r="BP37">
        <v>1</v>
      </c>
      <c r="BQ37">
        <v>0</v>
      </c>
      <c r="BR37">
        <v>1</v>
      </c>
      <c r="BT37" t="s">
        <v>59</v>
      </c>
      <c r="CA37" s="215"/>
      <c r="CB37" s="29"/>
      <c r="CC37" s="231"/>
      <c r="CD37" s="34"/>
      <c r="CE37" s="236"/>
      <c r="CF37" s="81"/>
      <c r="CG37" s="423"/>
      <c r="CH37" s="243"/>
      <c r="CK37">
        <v>1</v>
      </c>
      <c r="CL37">
        <v>0</v>
      </c>
      <c r="CM37">
        <v>0</v>
      </c>
      <c r="CN37">
        <v>1</v>
      </c>
      <c r="CO37">
        <v>0</v>
      </c>
      <c r="CP37">
        <v>0</v>
      </c>
      <c r="CQ37">
        <v>0</v>
      </c>
      <c r="CR37">
        <v>1</v>
      </c>
      <c r="CT37" t="s">
        <v>92</v>
      </c>
      <c r="DA37" s="310"/>
      <c r="DB37" s="310"/>
      <c r="DC37" s="14"/>
      <c r="DD37" s="21"/>
      <c r="DE37" s="16"/>
      <c r="DF37" s="82"/>
      <c r="DG37" s="333"/>
      <c r="DH37" s="410"/>
      <c r="DK37">
        <v>1</v>
      </c>
      <c r="DL37">
        <v>0</v>
      </c>
      <c r="DM37">
        <v>0</v>
      </c>
      <c r="DN37">
        <v>0</v>
      </c>
      <c r="DO37">
        <v>1</v>
      </c>
      <c r="DP37">
        <v>0</v>
      </c>
      <c r="DQ37">
        <v>0</v>
      </c>
      <c r="DR37">
        <v>1</v>
      </c>
      <c r="DT37" t="s">
        <v>108</v>
      </c>
      <c r="EA37" s="236"/>
      <c r="EB37" s="116"/>
      <c r="EC37" s="100"/>
      <c r="ED37" s="146"/>
      <c r="EE37" s="130"/>
      <c r="EF37" s="337"/>
      <c r="EG37" s="337"/>
      <c r="EH37" s="87"/>
      <c r="EK37">
        <v>0</v>
      </c>
      <c r="EL37">
        <v>1</v>
      </c>
      <c r="EM37">
        <v>0</v>
      </c>
      <c r="EN37">
        <v>0</v>
      </c>
      <c r="EO37">
        <v>1</v>
      </c>
      <c r="EP37">
        <v>0</v>
      </c>
      <c r="EQ37">
        <v>0</v>
      </c>
      <c r="ER37">
        <v>0</v>
      </c>
      <c r="ET37" t="s">
        <v>149</v>
      </c>
      <c r="FA37" s="327"/>
      <c r="FB37" s="67"/>
      <c r="FC37" s="34"/>
      <c r="FD37" s="4"/>
      <c r="FE37" s="73"/>
      <c r="FF37" s="223"/>
      <c r="FG37" s="125"/>
      <c r="FH37" s="86"/>
      <c r="FK37">
        <v>0</v>
      </c>
      <c r="FL37">
        <v>1</v>
      </c>
      <c r="FM37">
        <v>1</v>
      </c>
      <c r="FN37">
        <v>1</v>
      </c>
      <c r="FO37">
        <v>0</v>
      </c>
      <c r="FP37">
        <v>0</v>
      </c>
      <c r="FQ37">
        <v>1</v>
      </c>
      <c r="FR37">
        <v>0</v>
      </c>
      <c r="FT37" t="s">
        <v>132</v>
      </c>
    </row>
    <row r="38" spans="1:176" x14ac:dyDescent="0.25">
      <c r="A38" s="84"/>
      <c r="B38" s="229"/>
      <c r="C38" s="35"/>
      <c r="D38" s="138"/>
      <c r="E38" s="3"/>
      <c r="F38" s="142"/>
      <c r="G38" s="57"/>
      <c r="H38" s="105"/>
      <c r="K38">
        <v>0</v>
      </c>
      <c r="L38">
        <v>0</v>
      </c>
      <c r="M38">
        <v>1</v>
      </c>
      <c r="N38">
        <v>0</v>
      </c>
      <c r="O38">
        <v>0</v>
      </c>
      <c r="P38">
        <v>1</v>
      </c>
      <c r="Q38">
        <v>0</v>
      </c>
      <c r="R38">
        <v>0</v>
      </c>
      <c r="T38" t="s">
        <v>20</v>
      </c>
      <c r="AA38" s="28"/>
      <c r="AB38" s="50"/>
      <c r="AC38" s="407"/>
      <c r="AD38" s="403"/>
      <c r="AE38" s="62"/>
      <c r="AF38" s="20"/>
      <c r="AG38" s="137"/>
      <c r="AH38" s="82"/>
      <c r="AK38">
        <v>0</v>
      </c>
      <c r="AL38">
        <v>1</v>
      </c>
      <c r="AM38">
        <v>1</v>
      </c>
      <c r="AN38">
        <v>1</v>
      </c>
      <c r="AO38">
        <v>0</v>
      </c>
      <c r="AP38">
        <v>0</v>
      </c>
      <c r="AQ38">
        <v>0</v>
      </c>
      <c r="AR38">
        <v>0</v>
      </c>
      <c r="AT38" t="s">
        <v>46</v>
      </c>
      <c r="BA38" s="327"/>
      <c r="BB38" s="312"/>
      <c r="BC38" s="328"/>
      <c r="BD38" s="137"/>
      <c r="BE38" s="5"/>
      <c r="BF38" s="329"/>
      <c r="BG38" s="57"/>
      <c r="BH38" s="38"/>
      <c r="BK38">
        <v>0</v>
      </c>
      <c r="BL38">
        <v>1</v>
      </c>
      <c r="BM38">
        <v>1</v>
      </c>
      <c r="BN38">
        <v>0</v>
      </c>
      <c r="BO38">
        <v>0</v>
      </c>
      <c r="BP38">
        <v>1</v>
      </c>
      <c r="BQ38">
        <v>0</v>
      </c>
      <c r="BR38">
        <v>0</v>
      </c>
      <c r="BT38" t="s">
        <v>52</v>
      </c>
      <c r="CA38" s="408"/>
      <c r="CB38" s="310"/>
      <c r="CC38" s="241"/>
      <c r="CD38" s="85"/>
      <c r="CE38" s="335"/>
      <c r="CF38" s="45"/>
      <c r="CG38" s="94"/>
      <c r="CH38" s="410"/>
      <c r="CK38">
        <v>1</v>
      </c>
      <c r="CL38">
        <v>1</v>
      </c>
      <c r="CM38">
        <v>0</v>
      </c>
      <c r="CN38">
        <v>1</v>
      </c>
      <c r="CO38">
        <v>0</v>
      </c>
      <c r="CP38">
        <v>0</v>
      </c>
      <c r="CQ38">
        <v>0</v>
      </c>
      <c r="CR38">
        <v>0</v>
      </c>
      <c r="CT38" t="s">
        <v>93</v>
      </c>
      <c r="DA38" s="141"/>
      <c r="DB38" s="566"/>
      <c r="DC38" s="237"/>
      <c r="DD38" s="18"/>
      <c r="DE38" s="238"/>
      <c r="DF38" s="421"/>
      <c r="DG38" s="228"/>
      <c r="DH38" s="218"/>
      <c r="DK38">
        <v>1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T38" t="s">
        <v>109</v>
      </c>
      <c r="EA38" s="338"/>
      <c r="EB38" s="146"/>
      <c r="EC38" s="50"/>
      <c r="ED38" s="330"/>
      <c r="EE38" s="410"/>
      <c r="EF38" s="121"/>
      <c r="EG38" s="16"/>
      <c r="EH38" s="68"/>
      <c r="EK38">
        <v>0</v>
      </c>
      <c r="EL38">
        <v>1</v>
      </c>
      <c r="EM38">
        <v>1</v>
      </c>
      <c r="EN38">
        <v>0</v>
      </c>
      <c r="EO38">
        <v>0</v>
      </c>
      <c r="EP38">
        <v>1</v>
      </c>
      <c r="EQ38">
        <v>1</v>
      </c>
      <c r="ER38">
        <v>0</v>
      </c>
      <c r="ET38" t="s">
        <v>150</v>
      </c>
      <c r="FA38" s="421"/>
      <c r="FB38" s="44"/>
      <c r="FC38" s="124"/>
      <c r="FD38" s="40"/>
      <c r="FE38" s="223"/>
      <c r="FF38" s="9"/>
      <c r="FG38" s="113"/>
      <c r="FH38" s="242"/>
      <c r="FK38">
        <v>0</v>
      </c>
      <c r="FL38">
        <v>1</v>
      </c>
      <c r="FM38">
        <v>1</v>
      </c>
      <c r="FN38">
        <v>1</v>
      </c>
      <c r="FO38">
        <v>0</v>
      </c>
      <c r="FP38">
        <v>1</v>
      </c>
      <c r="FQ38">
        <v>1</v>
      </c>
      <c r="FR38">
        <v>1</v>
      </c>
      <c r="FT38" t="s">
        <v>133</v>
      </c>
    </row>
    <row r="39" spans="1:176" x14ac:dyDescent="0.25">
      <c r="A39" s="11"/>
      <c r="B39" s="58"/>
      <c r="C39" s="15"/>
      <c r="D39" s="230"/>
      <c r="E39" s="91"/>
      <c r="F39" s="128"/>
      <c r="G39" s="102"/>
      <c r="H39" s="231"/>
      <c r="K39">
        <v>0</v>
      </c>
      <c r="L39">
        <v>0</v>
      </c>
      <c r="M39">
        <v>1</v>
      </c>
      <c r="N39">
        <v>0</v>
      </c>
      <c r="O39">
        <v>0</v>
      </c>
      <c r="P39">
        <v>0</v>
      </c>
      <c r="Q39">
        <v>1</v>
      </c>
      <c r="R39">
        <v>0</v>
      </c>
      <c r="T39" t="s">
        <v>21</v>
      </c>
      <c r="AA39" s="338"/>
      <c r="AB39" s="28"/>
      <c r="AC39" s="307"/>
      <c r="AD39" s="107"/>
      <c r="AE39" s="143"/>
      <c r="AF39" s="107"/>
      <c r="AG39" s="12"/>
      <c r="AH39" s="78"/>
      <c r="AK39">
        <v>0</v>
      </c>
      <c r="AL39">
        <v>1</v>
      </c>
      <c r="AM39">
        <v>1</v>
      </c>
      <c r="AN39">
        <v>0</v>
      </c>
      <c r="AO39">
        <v>0</v>
      </c>
      <c r="AP39">
        <v>1</v>
      </c>
      <c r="AQ39">
        <v>0</v>
      </c>
      <c r="AR39">
        <v>0</v>
      </c>
      <c r="AT39" t="s">
        <v>52</v>
      </c>
      <c r="BA39" s="330"/>
      <c r="BB39" s="331"/>
      <c r="BC39" s="215"/>
      <c r="BD39" s="230"/>
      <c r="BE39" s="226"/>
      <c r="BF39" s="49"/>
      <c r="BG39" s="59"/>
      <c r="BH39" s="118"/>
      <c r="BK39">
        <v>0</v>
      </c>
      <c r="BL39">
        <v>0</v>
      </c>
      <c r="BM39">
        <v>1</v>
      </c>
      <c r="BN39">
        <v>0</v>
      </c>
      <c r="BO39">
        <v>0</v>
      </c>
      <c r="BP39">
        <v>1</v>
      </c>
      <c r="BQ39">
        <v>0</v>
      </c>
      <c r="BR39">
        <v>0</v>
      </c>
      <c r="BT39" t="s">
        <v>20</v>
      </c>
      <c r="CA39" s="113"/>
      <c r="CB39" s="410"/>
      <c r="CC39" s="20"/>
      <c r="CD39" s="63"/>
      <c r="CE39" s="122"/>
      <c r="CF39" s="410"/>
      <c r="CG39" s="324"/>
      <c r="CH39" s="426"/>
      <c r="CK39">
        <v>1</v>
      </c>
      <c r="CL39">
        <v>0</v>
      </c>
      <c r="CM39">
        <v>1</v>
      </c>
      <c r="CN39">
        <v>1</v>
      </c>
      <c r="CO39">
        <v>0</v>
      </c>
      <c r="CP39">
        <v>0</v>
      </c>
      <c r="CQ39">
        <v>0</v>
      </c>
      <c r="CR39">
        <v>1</v>
      </c>
      <c r="CT39" t="s">
        <v>84</v>
      </c>
      <c r="DA39" s="223"/>
      <c r="DB39" s="58"/>
      <c r="DC39" s="335"/>
      <c r="DD39" s="309"/>
      <c r="DE39" s="81"/>
      <c r="DF39" s="322"/>
      <c r="DG39" s="563"/>
      <c r="DH39" s="417"/>
      <c r="DK39">
        <v>1</v>
      </c>
      <c r="DL39">
        <v>0</v>
      </c>
      <c r="DM39">
        <v>1</v>
      </c>
      <c r="DN39">
        <v>0</v>
      </c>
      <c r="DO39">
        <v>0</v>
      </c>
      <c r="DP39">
        <v>1</v>
      </c>
      <c r="DQ39">
        <v>0</v>
      </c>
      <c r="DR39">
        <v>0</v>
      </c>
      <c r="DT39" t="s">
        <v>110</v>
      </c>
      <c r="EA39" s="338"/>
      <c r="EB39" s="219"/>
      <c r="EC39" s="116"/>
      <c r="ED39" s="411"/>
      <c r="EE39" s="634"/>
      <c r="EF39" s="236"/>
      <c r="EG39" s="406"/>
      <c r="EH39" s="231"/>
      <c r="EK39">
        <v>0</v>
      </c>
      <c r="EL39">
        <v>0</v>
      </c>
      <c r="EM39">
        <v>1</v>
      </c>
      <c r="EN39">
        <v>0</v>
      </c>
      <c r="EO39">
        <v>0</v>
      </c>
      <c r="EP39">
        <v>1</v>
      </c>
      <c r="EQ39">
        <v>0</v>
      </c>
      <c r="ER39">
        <v>0</v>
      </c>
      <c r="ET39" t="s">
        <v>20</v>
      </c>
      <c r="FA39" s="80"/>
      <c r="FB39" s="61"/>
      <c r="FC39" s="564"/>
      <c r="FD39" s="25"/>
      <c r="FE39" s="87"/>
      <c r="FF39" s="72"/>
      <c r="FG39" s="38"/>
      <c r="FH39" s="68"/>
      <c r="FK39">
        <v>0</v>
      </c>
      <c r="FL39">
        <v>0</v>
      </c>
      <c r="FM39">
        <v>1</v>
      </c>
      <c r="FN39">
        <v>1</v>
      </c>
      <c r="FO39">
        <v>0</v>
      </c>
      <c r="FP39">
        <v>1</v>
      </c>
      <c r="FQ39">
        <v>1</v>
      </c>
      <c r="FR39">
        <v>1</v>
      </c>
      <c r="FT39" t="s">
        <v>134</v>
      </c>
    </row>
    <row r="40" spans="1:176" x14ac:dyDescent="0.25">
      <c r="A40" s="43"/>
      <c r="B40" s="232"/>
      <c r="C40" s="57"/>
      <c r="D40" s="13"/>
      <c r="E40" s="114"/>
      <c r="F40" s="233"/>
      <c r="G40" s="146"/>
      <c r="H40" s="224"/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1</v>
      </c>
      <c r="R40">
        <v>0</v>
      </c>
      <c r="T40" t="s">
        <v>22</v>
      </c>
      <c r="AA40" s="38"/>
      <c r="AB40" s="338"/>
      <c r="AC40" s="213"/>
      <c r="AD40" s="229"/>
      <c r="AE40" s="331"/>
      <c r="AF40" s="72"/>
      <c r="AG40" s="338"/>
      <c r="AH40" s="335"/>
      <c r="AK40">
        <v>1</v>
      </c>
      <c r="AL40">
        <v>0</v>
      </c>
      <c r="AM40">
        <v>1</v>
      </c>
      <c r="AN40">
        <v>0</v>
      </c>
      <c r="AO40">
        <v>0</v>
      </c>
      <c r="AP40">
        <v>1</v>
      </c>
      <c r="AQ40">
        <v>0</v>
      </c>
      <c r="AR40">
        <v>1</v>
      </c>
      <c r="AT40" t="s">
        <v>48</v>
      </c>
      <c r="BA40" s="124"/>
      <c r="BB40" s="116"/>
      <c r="BC40" s="113"/>
      <c r="BD40" s="219"/>
      <c r="BE40" s="332"/>
      <c r="BF40" s="333"/>
      <c r="BG40" s="334"/>
      <c r="BH40" s="218"/>
      <c r="BK40">
        <v>1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1</v>
      </c>
      <c r="BR40">
        <v>0</v>
      </c>
      <c r="BT40" t="s">
        <v>64</v>
      </c>
      <c r="CA40" s="3"/>
      <c r="CB40" s="425"/>
      <c r="CC40" s="410"/>
      <c r="CD40" s="411"/>
      <c r="CE40" s="409"/>
      <c r="CF40" s="114"/>
      <c r="CG40" s="333"/>
      <c r="CH40" s="428"/>
      <c r="CK40">
        <v>0</v>
      </c>
      <c r="CL40">
        <v>1</v>
      </c>
      <c r="CM40">
        <v>0</v>
      </c>
      <c r="CN40">
        <v>0</v>
      </c>
      <c r="CO40">
        <v>1</v>
      </c>
      <c r="CP40">
        <v>1</v>
      </c>
      <c r="CQ40">
        <v>0</v>
      </c>
      <c r="CR40">
        <v>1</v>
      </c>
      <c r="CT40" t="s">
        <v>94</v>
      </c>
      <c r="DA40" s="220"/>
      <c r="DB40" s="315"/>
      <c r="DC40" s="80"/>
      <c r="DD40" s="81"/>
      <c r="DE40" s="229"/>
      <c r="DF40" s="229"/>
      <c r="DG40" s="316"/>
      <c r="DH40" s="72"/>
      <c r="DK40">
        <v>1</v>
      </c>
      <c r="DL40">
        <v>1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1</v>
      </c>
      <c r="DT40" t="s">
        <v>103</v>
      </c>
      <c r="EA40" s="319"/>
      <c r="EB40" s="227"/>
      <c r="EC40" s="218"/>
      <c r="ED40" s="410"/>
      <c r="EE40" s="228"/>
      <c r="EF40" s="58"/>
      <c r="EG40" s="122"/>
      <c r="EH40" s="11"/>
      <c r="EK40">
        <v>0</v>
      </c>
      <c r="EL40">
        <v>0</v>
      </c>
      <c r="EM40">
        <v>1</v>
      </c>
      <c r="EN40">
        <v>1</v>
      </c>
      <c r="EO40">
        <v>0</v>
      </c>
      <c r="EP40">
        <v>0</v>
      </c>
      <c r="EQ40">
        <v>1</v>
      </c>
      <c r="ER40">
        <v>0</v>
      </c>
      <c r="ET40" t="s">
        <v>13</v>
      </c>
      <c r="FA40" s="146"/>
      <c r="FB40" s="427"/>
      <c r="FC40" s="13"/>
      <c r="FD40" s="238"/>
      <c r="FE40" s="81"/>
      <c r="FF40" s="414"/>
      <c r="FG40" s="45"/>
      <c r="FH40" s="337"/>
      <c r="FK40">
        <v>0</v>
      </c>
      <c r="FL40">
        <v>0</v>
      </c>
      <c r="FM40">
        <v>1</v>
      </c>
      <c r="FN40">
        <v>1</v>
      </c>
      <c r="FO40">
        <v>0</v>
      </c>
      <c r="FP40">
        <v>0</v>
      </c>
      <c r="FQ40">
        <v>1</v>
      </c>
      <c r="FR40">
        <v>0</v>
      </c>
      <c r="FT40" t="s">
        <v>13</v>
      </c>
    </row>
    <row r="41" spans="1:176" x14ac:dyDescent="0.25">
      <c r="A41" s="40"/>
      <c r="B41" s="26"/>
      <c r="C41" s="42"/>
      <c r="D41" s="12"/>
      <c r="E41" s="116"/>
      <c r="F41" s="234"/>
      <c r="G41" s="26"/>
      <c r="H41" s="69"/>
      <c r="K41">
        <v>1</v>
      </c>
      <c r="L41">
        <v>1</v>
      </c>
      <c r="M41">
        <v>0</v>
      </c>
      <c r="N41">
        <v>1</v>
      </c>
      <c r="O41">
        <v>0</v>
      </c>
      <c r="P41">
        <v>1</v>
      </c>
      <c r="Q41">
        <v>1</v>
      </c>
      <c r="R41">
        <v>0</v>
      </c>
      <c r="T41" t="s">
        <v>28</v>
      </c>
      <c r="AA41" s="19"/>
      <c r="AB41" s="24"/>
      <c r="AC41" s="101"/>
      <c r="AD41" s="30"/>
      <c r="AE41" s="26"/>
      <c r="AF41" s="30"/>
      <c r="AG41" s="232"/>
      <c r="AH41" s="16"/>
      <c r="AK41">
        <v>1</v>
      </c>
      <c r="AL41">
        <v>1</v>
      </c>
      <c r="AM41">
        <v>0</v>
      </c>
      <c r="AN41">
        <v>0</v>
      </c>
      <c r="AO41">
        <v>0</v>
      </c>
      <c r="AP41">
        <v>1</v>
      </c>
      <c r="AQ41">
        <v>0</v>
      </c>
      <c r="AR41">
        <v>1</v>
      </c>
      <c r="AT41" t="s">
        <v>57</v>
      </c>
      <c r="BA41" s="234"/>
      <c r="BB41" s="50"/>
      <c r="BC41" s="112"/>
      <c r="BD41" s="39"/>
      <c r="BE41" s="244"/>
      <c r="BF41" s="136"/>
      <c r="BG41" s="40"/>
      <c r="BH41" s="244"/>
      <c r="BK41">
        <v>1</v>
      </c>
      <c r="BL41">
        <v>1</v>
      </c>
      <c r="BM41">
        <v>0</v>
      </c>
      <c r="BN41">
        <v>1</v>
      </c>
      <c r="BO41">
        <v>0</v>
      </c>
      <c r="BP41">
        <v>0</v>
      </c>
      <c r="BQ41">
        <v>1</v>
      </c>
      <c r="BR41">
        <v>0</v>
      </c>
      <c r="BT41" t="s">
        <v>23</v>
      </c>
      <c r="CA41" s="318"/>
      <c r="CB41" s="429"/>
      <c r="CC41" s="430"/>
      <c r="CD41" s="223"/>
      <c r="CE41" s="431"/>
      <c r="CF41" s="413"/>
      <c r="CG41" s="325"/>
      <c r="CH41" s="14"/>
      <c r="CK41">
        <v>1</v>
      </c>
      <c r="CL41">
        <v>0</v>
      </c>
      <c r="CM41">
        <v>0</v>
      </c>
      <c r="CN41">
        <v>1</v>
      </c>
      <c r="CO41">
        <v>0</v>
      </c>
      <c r="CP41">
        <v>0</v>
      </c>
      <c r="CQ41">
        <v>1</v>
      </c>
      <c r="CR41">
        <v>1</v>
      </c>
      <c r="CT41" t="s">
        <v>86</v>
      </c>
      <c r="DA41" s="81"/>
      <c r="DB41" s="332"/>
      <c r="DC41" s="118"/>
      <c r="DD41" s="331"/>
      <c r="DE41" s="429"/>
      <c r="DF41" s="3"/>
      <c r="DG41" s="46"/>
      <c r="DH41" s="124"/>
      <c r="DK41">
        <v>0</v>
      </c>
      <c r="DL41">
        <v>0</v>
      </c>
      <c r="DM41">
        <v>1</v>
      </c>
      <c r="DN41">
        <v>0</v>
      </c>
      <c r="DO41">
        <v>0</v>
      </c>
      <c r="DP41">
        <v>0</v>
      </c>
      <c r="DQ41">
        <v>1</v>
      </c>
      <c r="DR41">
        <v>1</v>
      </c>
      <c r="DT41" t="s">
        <v>111</v>
      </c>
      <c r="EA41" s="409"/>
      <c r="EB41" s="224"/>
      <c r="EC41" s="228"/>
      <c r="ED41" s="564"/>
      <c r="EE41" s="36"/>
      <c r="EF41" s="104"/>
      <c r="EG41" s="242"/>
      <c r="EH41" s="217"/>
      <c r="EK41">
        <v>0</v>
      </c>
      <c r="EL41">
        <v>1</v>
      </c>
      <c r="EM41">
        <v>0</v>
      </c>
      <c r="EN41">
        <v>1</v>
      </c>
      <c r="EO41">
        <v>1</v>
      </c>
      <c r="EP41">
        <v>0</v>
      </c>
      <c r="EQ41">
        <v>1</v>
      </c>
      <c r="ER41">
        <v>0</v>
      </c>
      <c r="ET41" t="s">
        <v>141</v>
      </c>
      <c r="FA41" s="322"/>
      <c r="FB41" s="118"/>
      <c r="FC41" s="632"/>
      <c r="FD41" s="105"/>
      <c r="FE41" s="48"/>
      <c r="FF41" s="104"/>
      <c r="FG41" s="74"/>
      <c r="FH41" s="80"/>
      <c r="FK41">
        <v>0</v>
      </c>
      <c r="FL41">
        <v>0</v>
      </c>
      <c r="FM41">
        <v>1</v>
      </c>
      <c r="FN41">
        <v>1</v>
      </c>
      <c r="FO41">
        <v>0</v>
      </c>
      <c r="FP41">
        <v>0</v>
      </c>
      <c r="FQ41">
        <v>1</v>
      </c>
      <c r="FR41">
        <v>0</v>
      </c>
      <c r="FT41" t="s">
        <v>13</v>
      </c>
    </row>
    <row r="42" spans="1:176" x14ac:dyDescent="0.25">
      <c r="K42">
        <v>5</v>
      </c>
      <c r="T42" t="s">
        <v>29</v>
      </c>
      <c r="AK42">
        <v>5</v>
      </c>
      <c r="AT42" t="s">
        <v>58</v>
      </c>
      <c r="BK42">
        <v>4</v>
      </c>
      <c r="BT42" t="s">
        <v>70</v>
      </c>
      <c r="CK42">
        <v>12</v>
      </c>
      <c r="CT42" t="s">
        <v>95</v>
      </c>
      <c r="DK42">
        <v>7</v>
      </c>
      <c r="DT42" t="s">
        <v>112</v>
      </c>
      <c r="EK42">
        <v>10</v>
      </c>
      <c r="ET42" t="s">
        <v>151</v>
      </c>
      <c r="FK42">
        <v>9</v>
      </c>
      <c r="FT42" t="s">
        <v>135</v>
      </c>
    </row>
    <row r="43" spans="1:176" x14ac:dyDescent="0.25">
      <c r="T43">
        <v>25</v>
      </c>
      <c r="AT43">
        <v>29</v>
      </c>
      <c r="BT43">
        <v>28</v>
      </c>
      <c r="CT43">
        <v>28</v>
      </c>
      <c r="DT43">
        <v>25</v>
      </c>
      <c r="ET43">
        <v>28</v>
      </c>
      <c r="FT43">
        <v>34</v>
      </c>
    </row>
    <row r="44" spans="1:176" x14ac:dyDescent="0.25">
      <c r="A44" s="99"/>
      <c r="B44" s="107"/>
      <c r="C44" s="77"/>
      <c r="D44" s="77"/>
      <c r="E44" s="135"/>
      <c r="F44" s="34"/>
      <c r="G44" s="134"/>
      <c r="H44" s="31"/>
      <c r="K44">
        <v>1</v>
      </c>
      <c r="L44">
        <v>1</v>
      </c>
      <c r="M44">
        <v>1</v>
      </c>
      <c r="N44">
        <v>0</v>
      </c>
      <c r="O44">
        <v>0</v>
      </c>
      <c r="P44">
        <v>1</v>
      </c>
      <c r="Q44">
        <v>1</v>
      </c>
      <c r="R44">
        <v>0</v>
      </c>
      <c r="T44" t="s">
        <v>30</v>
      </c>
      <c r="AA44" s="39"/>
      <c r="AB44" s="34"/>
      <c r="AC44" s="14"/>
      <c r="AD44" s="27"/>
      <c r="AE44" s="21"/>
      <c r="AF44" s="12"/>
      <c r="AG44" s="50"/>
      <c r="AH44" s="21"/>
      <c r="AK44">
        <v>0</v>
      </c>
      <c r="AL44">
        <v>1</v>
      </c>
      <c r="AM44">
        <v>0</v>
      </c>
      <c r="AN44">
        <v>1</v>
      </c>
      <c r="AO44">
        <v>0</v>
      </c>
      <c r="AP44">
        <v>0</v>
      </c>
      <c r="AQ44">
        <v>1</v>
      </c>
      <c r="AR44">
        <v>0</v>
      </c>
      <c r="AT44" t="s">
        <v>42</v>
      </c>
      <c r="BA44" s="62"/>
      <c r="BB44" s="107"/>
      <c r="BC44" s="130"/>
      <c r="BD44" s="140"/>
      <c r="BE44" s="16"/>
      <c r="BF44" s="63"/>
      <c r="BG44" s="10"/>
      <c r="BH44" s="20"/>
      <c r="BK44">
        <v>1</v>
      </c>
      <c r="BL44">
        <v>1</v>
      </c>
      <c r="BM44">
        <v>1</v>
      </c>
      <c r="BN44">
        <v>1</v>
      </c>
      <c r="BO44">
        <v>0</v>
      </c>
      <c r="BP44">
        <v>1</v>
      </c>
      <c r="BQ44">
        <v>1</v>
      </c>
      <c r="BR44">
        <v>0</v>
      </c>
      <c r="BT44" t="s">
        <v>25</v>
      </c>
      <c r="CA44" s="432"/>
      <c r="CB44" s="4"/>
      <c r="CC44" s="4"/>
      <c r="CD44" s="34"/>
      <c r="CE44" s="138"/>
      <c r="CF44" s="238"/>
      <c r="CG44" s="431"/>
      <c r="CH44" s="428"/>
      <c r="CK44">
        <v>1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1</v>
      </c>
      <c r="CT44" t="s">
        <v>88</v>
      </c>
      <c r="DA44" s="432"/>
      <c r="DB44" s="308"/>
      <c r="DC44" s="107"/>
      <c r="DD44" s="96"/>
      <c r="DE44" s="74"/>
      <c r="DF44" s="421"/>
      <c r="DG44" s="233"/>
      <c r="DH44" s="5"/>
      <c r="DK44">
        <v>1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1</v>
      </c>
      <c r="DT44" t="s">
        <v>88</v>
      </c>
      <c r="EA44" s="312"/>
      <c r="EB44" s="327"/>
      <c r="EC44" s="68"/>
      <c r="ED44" s="336"/>
      <c r="EE44" s="95"/>
      <c r="EF44" s="307"/>
      <c r="EG44" s="27"/>
      <c r="EH44" s="21"/>
      <c r="EK44">
        <v>1</v>
      </c>
      <c r="EL44">
        <v>0</v>
      </c>
      <c r="EM44">
        <v>1</v>
      </c>
      <c r="EN44">
        <v>1</v>
      </c>
      <c r="EO44">
        <v>1</v>
      </c>
      <c r="EP44">
        <v>0</v>
      </c>
      <c r="EQ44">
        <v>0</v>
      </c>
      <c r="ER44">
        <v>0</v>
      </c>
      <c r="ET44" t="s">
        <v>123</v>
      </c>
      <c r="FA44" s="235"/>
      <c r="FB44" s="238"/>
      <c r="FC44" s="137"/>
      <c r="FD44" s="415"/>
      <c r="FE44" s="216"/>
      <c r="FF44" s="132"/>
      <c r="FG44" s="336"/>
      <c r="FH44" s="138"/>
      <c r="FK44">
        <v>1</v>
      </c>
      <c r="FL44">
        <v>0</v>
      </c>
      <c r="FM44">
        <v>1</v>
      </c>
      <c r="FN44">
        <v>1</v>
      </c>
      <c r="FO44">
        <v>1</v>
      </c>
      <c r="FP44">
        <v>0</v>
      </c>
      <c r="FQ44">
        <v>0</v>
      </c>
      <c r="FR44">
        <v>0</v>
      </c>
      <c r="FT44" t="s">
        <v>123</v>
      </c>
    </row>
    <row r="45" spans="1:176" x14ac:dyDescent="0.25">
      <c r="A45" s="116"/>
      <c r="B45" s="40"/>
      <c r="C45" s="40"/>
      <c r="D45" s="50"/>
      <c r="E45" s="116"/>
      <c r="F45" s="40"/>
      <c r="G45" s="96"/>
      <c r="H45" s="65"/>
      <c r="K45">
        <v>0</v>
      </c>
      <c r="L45">
        <v>1</v>
      </c>
      <c r="M45">
        <v>0</v>
      </c>
      <c r="N45">
        <v>1</v>
      </c>
      <c r="O45">
        <v>0</v>
      </c>
      <c r="P45">
        <v>1</v>
      </c>
      <c r="Q45">
        <v>0</v>
      </c>
      <c r="R45">
        <v>0</v>
      </c>
      <c r="T45" t="s">
        <v>9</v>
      </c>
      <c r="AA45" s="26"/>
      <c r="AB45" s="109"/>
      <c r="AC45" s="21"/>
      <c r="AD45" s="14"/>
      <c r="AE45" s="101"/>
      <c r="AF45" s="234"/>
      <c r="AG45" s="116"/>
      <c r="AH45" s="69"/>
      <c r="AK45">
        <v>0</v>
      </c>
      <c r="AL45">
        <v>1</v>
      </c>
      <c r="AM45">
        <v>1</v>
      </c>
      <c r="AN45">
        <v>1</v>
      </c>
      <c r="AO45">
        <v>0</v>
      </c>
      <c r="AP45">
        <v>0</v>
      </c>
      <c r="AQ45">
        <v>0</v>
      </c>
      <c r="AR45">
        <v>0</v>
      </c>
      <c r="AT45" t="s">
        <v>46</v>
      </c>
      <c r="BA45" s="234"/>
      <c r="BB45" s="124"/>
      <c r="BC45" s="53"/>
      <c r="BD45" s="50"/>
      <c r="BE45" s="136"/>
      <c r="BF45" s="116"/>
      <c r="BG45" s="136"/>
      <c r="BH45" s="76"/>
      <c r="BK45">
        <v>0</v>
      </c>
      <c r="BL45">
        <v>0</v>
      </c>
      <c r="BM45">
        <v>0</v>
      </c>
      <c r="BN45">
        <v>1</v>
      </c>
      <c r="BO45">
        <v>0</v>
      </c>
      <c r="BP45">
        <v>1</v>
      </c>
      <c r="BQ45">
        <v>0</v>
      </c>
      <c r="BR45">
        <v>0</v>
      </c>
      <c r="BT45" t="s">
        <v>66</v>
      </c>
      <c r="CA45" s="120"/>
      <c r="CB45" s="4"/>
      <c r="CC45" s="107"/>
      <c r="CD45" s="124"/>
      <c r="CE45" s="46"/>
      <c r="CF45" s="87"/>
      <c r="CG45" s="313"/>
      <c r="CH45" s="417"/>
      <c r="CK45">
        <v>1</v>
      </c>
      <c r="CL45">
        <v>0</v>
      </c>
      <c r="CM45">
        <v>0</v>
      </c>
      <c r="CN45">
        <v>0</v>
      </c>
      <c r="CO45">
        <v>0</v>
      </c>
      <c r="CP45">
        <v>1</v>
      </c>
      <c r="CQ45">
        <v>0</v>
      </c>
      <c r="CR45">
        <v>0</v>
      </c>
      <c r="CT45" t="s">
        <v>67</v>
      </c>
      <c r="DA45" s="140"/>
      <c r="DB45" s="32"/>
      <c r="DC45" s="60"/>
      <c r="DD45" s="101"/>
      <c r="DE45" s="421"/>
      <c r="DF45" s="421"/>
      <c r="DG45" s="243"/>
      <c r="DH45" s="13"/>
      <c r="DK45">
        <v>1</v>
      </c>
      <c r="DL45">
        <v>1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T45" t="s">
        <v>113</v>
      </c>
      <c r="EA45" s="116"/>
      <c r="EB45" s="110"/>
      <c r="EC45" s="130"/>
      <c r="ED45" s="71"/>
      <c r="EE45" s="131"/>
      <c r="EF45" s="62"/>
      <c r="EG45" s="244"/>
      <c r="EH45" s="62"/>
      <c r="EK45">
        <v>0</v>
      </c>
      <c r="EL45">
        <v>0</v>
      </c>
      <c r="EM45">
        <v>1</v>
      </c>
      <c r="EN45">
        <v>1</v>
      </c>
      <c r="EO45">
        <v>0</v>
      </c>
      <c r="EP45">
        <v>0</v>
      </c>
      <c r="EQ45">
        <v>0</v>
      </c>
      <c r="ER45">
        <v>1</v>
      </c>
      <c r="ET45" t="s">
        <v>138</v>
      </c>
      <c r="FA45" s="69"/>
      <c r="FB45" s="69"/>
      <c r="FC45" s="62"/>
      <c r="FD45" s="120"/>
      <c r="FE45" s="403"/>
      <c r="FF45" s="138"/>
      <c r="FG45" s="123"/>
      <c r="FH45" s="62"/>
      <c r="FK45">
        <v>0</v>
      </c>
      <c r="FL45">
        <v>0</v>
      </c>
      <c r="FM45">
        <v>1</v>
      </c>
      <c r="FN45">
        <v>1</v>
      </c>
      <c r="FO45">
        <v>0</v>
      </c>
      <c r="FP45">
        <v>0</v>
      </c>
      <c r="FQ45">
        <v>1</v>
      </c>
      <c r="FR45">
        <v>1</v>
      </c>
      <c r="FT45" t="s">
        <v>124</v>
      </c>
    </row>
    <row r="46" spans="1:176" x14ac:dyDescent="0.25">
      <c r="A46" s="53"/>
      <c r="B46" s="138"/>
      <c r="C46" s="42"/>
      <c r="D46" s="21"/>
      <c r="E46" s="129"/>
      <c r="F46" s="137"/>
      <c r="G46" s="43"/>
      <c r="H46" s="67"/>
      <c r="K46">
        <v>1</v>
      </c>
      <c r="L46">
        <v>1</v>
      </c>
      <c r="M46">
        <v>0</v>
      </c>
      <c r="N46">
        <v>1</v>
      </c>
      <c r="O46">
        <v>1</v>
      </c>
      <c r="P46">
        <v>0</v>
      </c>
      <c r="Q46">
        <v>0</v>
      </c>
      <c r="R46">
        <v>0</v>
      </c>
      <c r="T46" t="s">
        <v>31</v>
      </c>
      <c r="AA46" s="101"/>
      <c r="AB46" s="232"/>
      <c r="AC46" s="143"/>
      <c r="AD46" s="107"/>
      <c r="AE46" s="16"/>
      <c r="AF46" s="18"/>
      <c r="AG46" s="109"/>
      <c r="AH46" s="234"/>
      <c r="AK46">
        <v>1</v>
      </c>
      <c r="AL46">
        <v>0</v>
      </c>
      <c r="AM46">
        <v>1</v>
      </c>
      <c r="AN46">
        <v>1</v>
      </c>
      <c r="AO46">
        <v>0</v>
      </c>
      <c r="AP46">
        <v>0</v>
      </c>
      <c r="AQ46">
        <v>0</v>
      </c>
      <c r="AR46">
        <v>0</v>
      </c>
      <c r="AT46" t="s">
        <v>43</v>
      </c>
      <c r="BA46" s="39"/>
      <c r="BB46" s="109"/>
      <c r="BC46" s="9"/>
      <c r="BD46" s="113"/>
      <c r="BE46" s="335"/>
      <c r="BF46" s="30"/>
      <c r="BG46" s="112"/>
      <c r="BH46" s="133"/>
      <c r="BK46">
        <v>1</v>
      </c>
      <c r="BL46">
        <v>0</v>
      </c>
      <c r="BM46">
        <v>0</v>
      </c>
      <c r="BN46">
        <v>1</v>
      </c>
      <c r="BO46">
        <v>0</v>
      </c>
      <c r="BP46">
        <v>1</v>
      </c>
      <c r="BQ46">
        <v>0</v>
      </c>
      <c r="BR46">
        <v>0</v>
      </c>
      <c r="BT46" t="s">
        <v>71</v>
      </c>
      <c r="CA46" s="77"/>
      <c r="CB46" s="407"/>
      <c r="CC46" s="317"/>
      <c r="CD46" s="433"/>
      <c r="CE46" s="51"/>
      <c r="CF46" s="409"/>
      <c r="CG46" s="75"/>
      <c r="CH46" s="233"/>
      <c r="CK46">
        <v>1</v>
      </c>
      <c r="CL46">
        <v>1</v>
      </c>
      <c r="CM46">
        <v>0</v>
      </c>
      <c r="CN46">
        <v>1</v>
      </c>
      <c r="CO46">
        <v>0</v>
      </c>
      <c r="CP46">
        <v>0</v>
      </c>
      <c r="CQ46">
        <v>0</v>
      </c>
      <c r="CR46">
        <v>1</v>
      </c>
      <c r="CT46" t="s">
        <v>82</v>
      </c>
      <c r="DA46" s="8"/>
      <c r="DB46" s="64"/>
      <c r="DC46" s="317"/>
      <c r="DD46" s="420"/>
      <c r="DE46" s="19"/>
      <c r="DF46" s="217"/>
      <c r="DG46" s="414"/>
      <c r="DH46" s="315"/>
      <c r="DK46">
        <v>1</v>
      </c>
      <c r="DL46">
        <v>1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1</v>
      </c>
      <c r="DT46" t="s">
        <v>103</v>
      </c>
      <c r="EA46" s="415"/>
      <c r="EB46" s="244"/>
      <c r="EC46" s="96"/>
      <c r="ED46" s="434"/>
      <c r="EE46" s="68"/>
      <c r="EF46" s="315"/>
      <c r="EG46" s="69"/>
      <c r="EH46" s="18"/>
      <c r="EK46">
        <v>1</v>
      </c>
      <c r="EL46">
        <v>0</v>
      </c>
      <c r="EM46">
        <v>0</v>
      </c>
      <c r="EN46">
        <v>1</v>
      </c>
      <c r="EO46">
        <v>0</v>
      </c>
      <c r="EP46">
        <v>0</v>
      </c>
      <c r="EQ46">
        <v>1</v>
      </c>
      <c r="ER46">
        <v>1</v>
      </c>
      <c r="ET46" t="s">
        <v>86</v>
      </c>
      <c r="FA46" s="26"/>
      <c r="FB46" s="34"/>
      <c r="FC46" s="109"/>
      <c r="FD46" s="307"/>
      <c r="FE46" s="244"/>
      <c r="FF46" s="421"/>
      <c r="FG46" s="23"/>
      <c r="FH46" s="39"/>
      <c r="FK46">
        <v>0</v>
      </c>
      <c r="FL46">
        <v>1</v>
      </c>
      <c r="FM46">
        <v>0</v>
      </c>
      <c r="FN46">
        <v>1</v>
      </c>
      <c r="FO46">
        <v>0</v>
      </c>
      <c r="FP46">
        <v>0</v>
      </c>
      <c r="FQ46">
        <v>1</v>
      </c>
      <c r="FR46">
        <v>1</v>
      </c>
      <c r="FT46" t="s">
        <v>125</v>
      </c>
    </row>
    <row r="47" spans="1:176" x14ac:dyDescent="0.25">
      <c r="A47" s="235"/>
      <c r="B47" s="115"/>
      <c r="C47" s="35"/>
      <c r="D47" s="102"/>
      <c r="E47" s="211"/>
      <c r="F47" s="41"/>
      <c r="G47" s="89"/>
      <c r="H47" s="85"/>
      <c r="K47">
        <v>0</v>
      </c>
      <c r="L47">
        <v>0</v>
      </c>
      <c r="M47">
        <v>1</v>
      </c>
      <c r="N47">
        <v>1</v>
      </c>
      <c r="O47">
        <v>0</v>
      </c>
      <c r="P47">
        <v>1</v>
      </c>
      <c r="Q47">
        <v>0</v>
      </c>
      <c r="R47">
        <v>0</v>
      </c>
      <c r="T47" t="s">
        <v>11</v>
      </c>
      <c r="AA47" s="73"/>
      <c r="AB47" s="43"/>
      <c r="AC47" s="318"/>
      <c r="AD47" s="99"/>
      <c r="AE47" s="14"/>
      <c r="AF47" s="62"/>
      <c r="AG47" s="232"/>
      <c r="AH47" s="129"/>
      <c r="AK47">
        <v>0</v>
      </c>
      <c r="AL47">
        <v>1</v>
      </c>
      <c r="AM47">
        <v>1</v>
      </c>
      <c r="AN47">
        <v>1</v>
      </c>
      <c r="AO47">
        <v>0</v>
      </c>
      <c r="AP47">
        <v>1</v>
      </c>
      <c r="AQ47">
        <v>0</v>
      </c>
      <c r="AR47">
        <v>1</v>
      </c>
      <c r="AT47" t="s">
        <v>59</v>
      </c>
      <c r="BA47" s="335"/>
      <c r="BB47" s="238"/>
      <c r="BC47" s="29"/>
      <c r="BD47" s="215"/>
      <c r="BE47" s="117"/>
      <c r="BF47" s="89"/>
      <c r="BG47" s="234"/>
      <c r="BH47" s="336"/>
      <c r="BK47">
        <v>0</v>
      </c>
      <c r="BL47">
        <v>1</v>
      </c>
      <c r="BM47">
        <v>1</v>
      </c>
      <c r="BN47">
        <v>1</v>
      </c>
      <c r="BO47">
        <v>0</v>
      </c>
      <c r="BP47">
        <v>1</v>
      </c>
      <c r="BQ47">
        <v>0</v>
      </c>
      <c r="BR47">
        <v>1</v>
      </c>
      <c r="BT47" t="s">
        <v>59</v>
      </c>
      <c r="CA47" s="107"/>
      <c r="CB47" s="6"/>
      <c r="CC47" s="9"/>
      <c r="CD47" s="317"/>
      <c r="CE47" s="19"/>
      <c r="CF47" s="405"/>
      <c r="CG47" s="319"/>
      <c r="CH47" s="322"/>
      <c r="CK47">
        <v>1</v>
      </c>
      <c r="CL47">
        <v>1</v>
      </c>
      <c r="CM47">
        <v>0</v>
      </c>
      <c r="CN47">
        <v>1</v>
      </c>
      <c r="CO47">
        <v>0</v>
      </c>
      <c r="CP47">
        <v>0</v>
      </c>
      <c r="CQ47">
        <v>0</v>
      </c>
      <c r="CR47">
        <v>1</v>
      </c>
      <c r="CT47" t="s">
        <v>82</v>
      </c>
      <c r="DA47" s="307"/>
      <c r="DB47" s="336"/>
      <c r="DC47" s="129"/>
      <c r="DD47" s="317"/>
      <c r="DE47" s="237"/>
      <c r="DF47" s="73"/>
      <c r="DG47" s="79"/>
      <c r="DH47" s="78"/>
      <c r="DK47">
        <v>1</v>
      </c>
      <c r="DL47">
        <v>1</v>
      </c>
      <c r="DM47">
        <v>0</v>
      </c>
      <c r="DN47">
        <v>1</v>
      </c>
      <c r="DO47">
        <v>1</v>
      </c>
      <c r="DP47">
        <v>0</v>
      </c>
      <c r="DQ47">
        <v>0</v>
      </c>
      <c r="DR47">
        <v>1</v>
      </c>
      <c r="DT47" t="s">
        <v>99</v>
      </c>
      <c r="EA47" s="18"/>
      <c r="EB47" s="24"/>
      <c r="EC47" s="242"/>
      <c r="ED47" s="78"/>
      <c r="EE47" s="308"/>
      <c r="EF47" s="337"/>
      <c r="EG47" s="337"/>
      <c r="EH47" s="239"/>
      <c r="EK47">
        <v>0</v>
      </c>
      <c r="EL47">
        <v>1</v>
      </c>
      <c r="EM47">
        <v>0</v>
      </c>
      <c r="EN47">
        <v>0</v>
      </c>
      <c r="EO47">
        <v>1</v>
      </c>
      <c r="EP47">
        <v>0</v>
      </c>
      <c r="EQ47">
        <v>0</v>
      </c>
      <c r="ER47">
        <v>1</v>
      </c>
      <c r="ET47" t="s">
        <v>152</v>
      </c>
      <c r="FA47" s="57"/>
      <c r="FB47" s="234"/>
      <c r="FC47" s="24"/>
      <c r="FD47" s="63"/>
      <c r="FE47" s="221"/>
      <c r="FF47" s="238"/>
      <c r="FG47" s="83"/>
      <c r="FH47" s="82"/>
      <c r="FK47">
        <v>0</v>
      </c>
      <c r="FL47">
        <v>1</v>
      </c>
      <c r="FM47">
        <v>1</v>
      </c>
      <c r="FN47">
        <v>1</v>
      </c>
      <c r="FO47">
        <v>0</v>
      </c>
      <c r="FP47">
        <v>0</v>
      </c>
      <c r="FQ47">
        <v>1</v>
      </c>
      <c r="FR47">
        <v>1</v>
      </c>
      <c r="FT47" t="s">
        <v>126</v>
      </c>
    </row>
    <row r="48" spans="1:176" x14ac:dyDescent="0.25">
      <c r="A48" s="236"/>
      <c r="B48" s="104"/>
      <c r="C48" s="88"/>
      <c r="D48" s="237"/>
      <c r="E48" s="238"/>
      <c r="F48" s="142"/>
      <c r="G48" s="67"/>
      <c r="H48" s="238"/>
      <c r="K48">
        <v>0</v>
      </c>
      <c r="L48">
        <v>0</v>
      </c>
      <c r="M48">
        <v>1</v>
      </c>
      <c r="N48">
        <v>0</v>
      </c>
      <c r="O48">
        <v>0</v>
      </c>
      <c r="P48">
        <v>1</v>
      </c>
      <c r="Q48">
        <v>0</v>
      </c>
      <c r="R48">
        <v>0</v>
      </c>
      <c r="T48" t="s">
        <v>20</v>
      </c>
      <c r="AA48" s="28"/>
      <c r="AB48" s="31"/>
      <c r="AC48" s="127"/>
      <c r="AD48" s="408"/>
      <c r="AE48" s="130"/>
      <c r="AF48" s="123"/>
      <c r="AG48" s="136"/>
      <c r="AH48" s="235"/>
      <c r="AK48">
        <v>0</v>
      </c>
      <c r="AL48">
        <v>1</v>
      </c>
      <c r="AM48">
        <v>1</v>
      </c>
      <c r="AN48">
        <v>1</v>
      </c>
      <c r="AO48">
        <v>0</v>
      </c>
      <c r="AP48">
        <v>0</v>
      </c>
      <c r="AQ48">
        <v>0</v>
      </c>
      <c r="AR48">
        <v>0</v>
      </c>
      <c r="AT48" t="s">
        <v>46</v>
      </c>
      <c r="BA48" s="337"/>
      <c r="BB48" s="239"/>
      <c r="BC48" s="66"/>
      <c r="BD48" s="336"/>
      <c r="BE48" s="236"/>
      <c r="BF48" s="17"/>
      <c r="BG48" s="67"/>
      <c r="BH48" s="223"/>
      <c r="BK48">
        <v>0</v>
      </c>
      <c r="BL48">
        <v>1</v>
      </c>
      <c r="BM48">
        <v>1</v>
      </c>
      <c r="BN48">
        <v>0</v>
      </c>
      <c r="BO48">
        <v>0</v>
      </c>
      <c r="BP48">
        <v>1</v>
      </c>
      <c r="BQ48">
        <v>0</v>
      </c>
      <c r="BR48">
        <v>0</v>
      </c>
      <c r="BT48" t="s">
        <v>52</v>
      </c>
      <c r="CA48" s="336"/>
      <c r="CB48" s="403"/>
      <c r="CC48" s="51"/>
      <c r="CD48" s="311"/>
      <c r="CE48" s="137"/>
      <c r="CF48" s="84"/>
      <c r="CG48" s="137"/>
      <c r="CH48" s="238"/>
      <c r="CK48">
        <v>1</v>
      </c>
      <c r="CL48">
        <v>1</v>
      </c>
      <c r="CM48">
        <v>1</v>
      </c>
      <c r="CN48">
        <v>1</v>
      </c>
      <c r="CO48">
        <v>0</v>
      </c>
      <c r="CP48">
        <v>0</v>
      </c>
      <c r="CQ48">
        <v>1</v>
      </c>
      <c r="CR48">
        <v>0</v>
      </c>
      <c r="CT48" t="s">
        <v>62</v>
      </c>
      <c r="DA48" s="432"/>
      <c r="DB48" s="20"/>
      <c r="DC48" s="420"/>
      <c r="DD48" s="98"/>
      <c r="DE48" s="42"/>
      <c r="DF48" s="564"/>
      <c r="DG48" s="48"/>
      <c r="DH48" s="320"/>
      <c r="DK48">
        <v>1</v>
      </c>
      <c r="DL48">
        <v>0</v>
      </c>
      <c r="DM48">
        <v>1</v>
      </c>
      <c r="DN48">
        <v>0</v>
      </c>
      <c r="DO48">
        <v>0</v>
      </c>
      <c r="DP48">
        <v>0</v>
      </c>
      <c r="DQ48">
        <v>0</v>
      </c>
      <c r="DR48">
        <v>0</v>
      </c>
      <c r="DT48" t="s">
        <v>114</v>
      </c>
      <c r="EA48" s="126"/>
      <c r="EB48" s="119"/>
      <c r="EC48" s="135"/>
      <c r="ED48" s="243"/>
      <c r="EE48" s="13"/>
      <c r="EF48" s="69"/>
      <c r="EG48" s="20"/>
      <c r="EH48" s="244"/>
      <c r="EK48">
        <v>1</v>
      </c>
      <c r="EL48">
        <v>0</v>
      </c>
      <c r="EM48">
        <v>1</v>
      </c>
      <c r="EN48">
        <v>0</v>
      </c>
      <c r="EO48">
        <v>0</v>
      </c>
      <c r="EP48">
        <v>1</v>
      </c>
      <c r="EQ48">
        <v>1</v>
      </c>
      <c r="ER48">
        <v>0</v>
      </c>
      <c r="ET48" t="s">
        <v>104</v>
      </c>
      <c r="FA48" s="65"/>
      <c r="FB48" s="126"/>
      <c r="FC48" s="138"/>
      <c r="FD48" s="138"/>
      <c r="FE48" s="115"/>
      <c r="FF48" s="119"/>
      <c r="FG48" s="82"/>
      <c r="FH48" s="137"/>
      <c r="FK48">
        <v>1</v>
      </c>
      <c r="FL48">
        <v>1</v>
      </c>
      <c r="FM48">
        <v>1</v>
      </c>
      <c r="FN48">
        <v>0</v>
      </c>
      <c r="FO48">
        <v>0</v>
      </c>
      <c r="FP48">
        <v>1</v>
      </c>
      <c r="FQ48">
        <v>1</v>
      </c>
      <c r="FR48">
        <v>1</v>
      </c>
      <c r="FT48" t="s">
        <v>136</v>
      </c>
    </row>
    <row r="49" spans="1:176" x14ac:dyDescent="0.25">
      <c r="A49" s="239"/>
      <c r="B49" s="224"/>
      <c r="C49" s="15"/>
      <c r="D49" s="230"/>
      <c r="E49" s="240"/>
      <c r="F49" s="241"/>
      <c r="G49" s="35"/>
      <c r="H49" s="104"/>
      <c r="K49">
        <v>0</v>
      </c>
      <c r="L49">
        <v>0</v>
      </c>
      <c r="M49">
        <v>1</v>
      </c>
      <c r="N49">
        <v>0</v>
      </c>
      <c r="O49">
        <v>0</v>
      </c>
      <c r="P49">
        <v>0</v>
      </c>
      <c r="Q49">
        <v>1</v>
      </c>
      <c r="R49">
        <v>0</v>
      </c>
      <c r="T49" t="s">
        <v>21</v>
      </c>
      <c r="AA49" s="87"/>
      <c r="AB49" s="57"/>
      <c r="AC49" s="308"/>
      <c r="AD49" s="77"/>
      <c r="AE49" s="27"/>
      <c r="AF49" s="99"/>
      <c r="AG49" s="21"/>
      <c r="AH49" s="59"/>
      <c r="AK49">
        <v>0</v>
      </c>
      <c r="AL49">
        <v>1</v>
      </c>
      <c r="AM49">
        <v>1</v>
      </c>
      <c r="AN49">
        <v>0</v>
      </c>
      <c r="AO49">
        <v>0</v>
      </c>
      <c r="AP49">
        <v>1</v>
      </c>
      <c r="AQ49">
        <v>0</v>
      </c>
      <c r="AR49">
        <v>0</v>
      </c>
      <c r="AT49" t="s">
        <v>52</v>
      </c>
      <c r="BA49" s="320"/>
      <c r="BB49" s="61"/>
      <c r="BC49" s="102"/>
      <c r="BD49" s="215"/>
      <c r="BE49" s="103"/>
      <c r="BF49" s="215"/>
      <c r="BG49" s="338"/>
      <c r="BH49" s="217"/>
      <c r="BK49">
        <v>0</v>
      </c>
      <c r="BL49">
        <v>0</v>
      </c>
      <c r="BM49">
        <v>1</v>
      </c>
      <c r="BN49">
        <v>1</v>
      </c>
      <c r="BO49">
        <v>0</v>
      </c>
      <c r="BP49">
        <v>1</v>
      </c>
      <c r="BQ49">
        <v>0</v>
      </c>
      <c r="BR49">
        <v>0</v>
      </c>
      <c r="BT49" t="s">
        <v>11</v>
      </c>
      <c r="CA49" s="10"/>
      <c r="CB49" s="45"/>
      <c r="CC49" s="98"/>
      <c r="CD49" s="56"/>
      <c r="CE49" s="221"/>
      <c r="CF49" s="110"/>
      <c r="CG49" s="410"/>
      <c r="CH49" s="76"/>
      <c r="CK49">
        <v>1</v>
      </c>
      <c r="CL49">
        <v>0</v>
      </c>
      <c r="CM49">
        <v>1</v>
      </c>
      <c r="CN49">
        <v>1</v>
      </c>
      <c r="CO49">
        <v>0</v>
      </c>
      <c r="CP49">
        <v>0</v>
      </c>
      <c r="CQ49">
        <v>0</v>
      </c>
      <c r="CR49">
        <v>1</v>
      </c>
      <c r="CT49" t="s">
        <v>84</v>
      </c>
      <c r="DA49" s="116"/>
      <c r="DB49" s="334"/>
      <c r="DC49" s="76"/>
      <c r="DD49" s="112"/>
      <c r="DE49" s="238"/>
      <c r="DF49" s="110"/>
      <c r="DG49" s="337"/>
      <c r="DH49" s="405"/>
      <c r="DK49">
        <v>1</v>
      </c>
      <c r="DL49">
        <v>0</v>
      </c>
      <c r="DM49">
        <v>1</v>
      </c>
      <c r="DN49">
        <v>1</v>
      </c>
      <c r="DO49">
        <v>0</v>
      </c>
      <c r="DP49">
        <v>1</v>
      </c>
      <c r="DQ49">
        <v>0</v>
      </c>
      <c r="DR49">
        <v>0</v>
      </c>
      <c r="DT49" t="s">
        <v>27</v>
      </c>
      <c r="EA49" s="113"/>
      <c r="EB49" s="563"/>
      <c r="EC49" s="40"/>
      <c r="ED49" s="423"/>
      <c r="EE49" s="411"/>
      <c r="EF49" s="28"/>
      <c r="EG49" s="45"/>
      <c r="EH49" s="87"/>
      <c r="EK49">
        <v>0</v>
      </c>
      <c r="EL49">
        <v>0</v>
      </c>
      <c r="EM49">
        <v>1</v>
      </c>
      <c r="EN49">
        <v>0</v>
      </c>
      <c r="EO49">
        <v>0</v>
      </c>
      <c r="EP49">
        <v>1</v>
      </c>
      <c r="EQ49">
        <v>0</v>
      </c>
      <c r="ER49">
        <v>0</v>
      </c>
      <c r="ET49" t="s">
        <v>20</v>
      </c>
      <c r="FA49" s="119"/>
      <c r="FB49" s="146"/>
      <c r="FC49" s="74"/>
      <c r="FD49" s="74"/>
      <c r="FE49" s="210"/>
      <c r="FF49" s="337"/>
      <c r="FG49" s="564"/>
      <c r="FH49" s="42"/>
      <c r="FK49">
        <v>0</v>
      </c>
      <c r="FL49">
        <v>0</v>
      </c>
      <c r="FM49">
        <v>1</v>
      </c>
      <c r="FN49">
        <v>0</v>
      </c>
      <c r="FO49">
        <v>0</v>
      </c>
      <c r="FP49">
        <v>1</v>
      </c>
      <c r="FQ49">
        <v>1</v>
      </c>
      <c r="FR49">
        <v>1</v>
      </c>
      <c r="FT49" t="s">
        <v>127</v>
      </c>
    </row>
    <row r="50" spans="1:176" x14ac:dyDescent="0.25">
      <c r="A50" s="242"/>
      <c r="B50" s="116"/>
      <c r="C50" s="69"/>
      <c r="D50" s="243"/>
      <c r="E50" s="114"/>
      <c r="F50" s="219"/>
      <c r="G50" s="146"/>
      <c r="H50" s="224"/>
      <c r="K50">
        <v>1</v>
      </c>
      <c r="L50">
        <v>1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T50" t="s">
        <v>22</v>
      </c>
      <c r="AA50" s="335"/>
      <c r="AB50" s="405"/>
      <c r="AC50" s="45"/>
      <c r="AD50" s="217"/>
      <c r="AE50" s="224"/>
      <c r="AF50" s="315"/>
      <c r="AG50" s="78"/>
      <c r="AH50" s="406"/>
      <c r="AK50">
        <v>1</v>
      </c>
      <c r="AL50">
        <v>0</v>
      </c>
      <c r="AM50">
        <v>1</v>
      </c>
      <c r="AN50">
        <v>0</v>
      </c>
      <c r="AO50">
        <v>0</v>
      </c>
      <c r="AP50">
        <v>1</v>
      </c>
      <c r="AQ50">
        <v>0</v>
      </c>
      <c r="AR50">
        <v>1</v>
      </c>
      <c r="AT50" t="s">
        <v>48</v>
      </c>
      <c r="BA50" s="244"/>
      <c r="BB50" s="112"/>
      <c r="BC50" s="236"/>
      <c r="BD50" s="114"/>
      <c r="BE50" s="233"/>
      <c r="BF50" s="333"/>
      <c r="BG50" s="210"/>
      <c r="BH50" s="218"/>
      <c r="BK50">
        <v>1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1</v>
      </c>
      <c r="BR50">
        <v>0</v>
      </c>
      <c r="BT50" t="s">
        <v>64</v>
      </c>
      <c r="CA50" s="217"/>
      <c r="CB50" s="434"/>
      <c r="CC50" s="82"/>
      <c r="CD50" s="11"/>
      <c r="CE50" s="214"/>
      <c r="CF50" s="214"/>
      <c r="CG50" s="231"/>
      <c r="CH50" s="48"/>
      <c r="CK50">
        <v>0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1</v>
      </c>
      <c r="CR50">
        <v>1</v>
      </c>
      <c r="CT50" t="s">
        <v>85</v>
      </c>
      <c r="DA50" s="315"/>
      <c r="DB50" s="65"/>
      <c r="DC50" s="84"/>
      <c r="DD50" s="110"/>
      <c r="DE50" s="72"/>
      <c r="DF50" s="315"/>
      <c r="DG50" s="104"/>
      <c r="DH50" s="84"/>
      <c r="DK50">
        <v>1</v>
      </c>
      <c r="DL50">
        <v>1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1</v>
      </c>
      <c r="DT50" t="s">
        <v>103</v>
      </c>
      <c r="EA50" s="45"/>
      <c r="EB50" s="331"/>
      <c r="EC50" s="313"/>
      <c r="ED50" s="13"/>
      <c r="EE50" s="316"/>
      <c r="EF50" s="414"/>
      <c r="EG50" s="23"/>
      <c r="EH50" s="82"/>
      <c r="EK50">
        <v>1</v>
      </c>
      <c r="EL50">
        <v>0</v>
      </c>
      <c r="EM50">
        <v>1</v>
      </c>
      <c r="EN50">
        <v>0</v>
      </c>
      <c r="EO50">
        <v>0</v>
      </c>
      <c r="EP50">
        <v>1</v>
      </c>
      <c r="EQ50">
        <v>1</v>
      </c>
      <c r="ER50">
        <v>0</v>
      </c>
      <c r="ET50" t="s">
        <v>104</v>
      </c>
      <c r="FA50" s="105"/>
      <c r="FB50" s="231"/>
      <c r="FC50" s="81"/>
      <c r="FD50" s="38"/>
      <c r="FE50" s="104"/>
      <c r="FF50" s="331"/>
      <c r="FG50" s="223"/>
      <c r="FH50" s="86"/>
      <c r="FK50">
        <v>0</v>
      </c>
      <c r="FL50">
        <v>0</v>
      </c>
      <c r="FM50">
        <v>1</v>
      </c>
      <c r="FN50">
        <v>1</v>
      </c>
      <c r="FO50">
        <v>0</v>
      </c>
      <c r="FP50">
        <v>0</v>
      </c>
      <c r="FQ50">
        <v>1</v>
      </c>
      <c r="FR50">
        <v>1</v>
      </c>
      <c r="FT50" t="s">
        <v>124</v>
      </c>
    </row>
    <row r="51" spans="1:176" x14ac:dyDescent="0.25">
      <c r="A51" s="136"/>
      <c r="B51" s="136"/>
      <c r="C51" s="43"/>
      <c r="D51" s="39"/>
      <c r="E51" s="96"/>
      <c r="F51" s="96"/>
      <c r="G51" s="244"/>
      <c r="H51" s="133"/>
      <c r="K51">
        <v>1</v>
      </c>
      <c r="L51">
        <v>0</v>
      </c>
      <c r="M51">
        <v>0</v>
      </c>
      <c r="N51">
        <v>1</v>
      </c>
      <c r="O51">
        <v>0</v>
      </c>
      <c r="P51">
        <v>0</v>
      </c>
      <c r="Q51">
        <v>1</v>
      </c>
      <c r="R51">
        <v>0</v>
      </c>
      <c r="T51" t="s">
        <v>32</v>
      </c>
      <c r="AA51" s="40"/>
      <c r="AB51" s="26"/>
      <c r="AC51" s="138"/>
      <c r="AD51" s="26"/>
      <c r="AE51" s="137"/>
      <c r="AF51" s="116"/>
      <c r="AG51" s="116"/>
      <c r="AH51" s="14"/>
      <c r="AK51">
        <v>1</v>
      </c>
      <c r="AL51">
        <v>1</v>
      </c>
      <c r="AM51">
        <v>0</v>
      </c>
      <c r="AN51">
        <v>1</v>
      </c>
      <c r="AO51">
        <v>0</v>
      </c>
      <c r="AP51">
        <v>1</v>
      </c>
      <c r="AQ51">
        <v>0</v>
      </c>
      <c r="AR51">
        <v>1</v>
      </c>
      <c r="AT51" t="s">
        <v>60</v>
      </c>
      <c r="BA51" s="96"/>
      <c r="BB51" s="39"/>
      <c r="BC51" s="43"/>
      <c r="BD51" s="234"/>
      <c r="BE51" s="112"/>
      <c r="BF51" s="121"/>
      <c r="BG51" s="136"/>
      <c r="BH51" s="69"/>
      <c r="BK51">
        <v>1</v>
      </c>
      <c r="BL51">
        <v>1</v>
      </c>
      <c r="BM51">
        <v>0</v>
      </c>
      <c r="BN51">
        <v>1</v>
      </c>
      <c r="BO51">
        <v>0</v>
      </c>
      <c r="BP51">
        <v>0</v>
      </c>
      <c r="BQ51">
        <v>1</v>
      </c>
      <c r="BR51">
        <v>0</v>
      </c>
      <c r="BT51" t="s">
        <v>23</v>
      </c>
      <c r="CA51" s="21"/>
      <c r="CB51" s="45"/>
      <c r="CC51" s="111"/>
      <c r="CD51" s="69"/>
      <c r="CE51" s="320"/>
      <c r="CF51" s="111"/>
      <c r="CG51" s="327"/>
      <c r="CH51" s="20"/>
      <c r="CK51">
        <v>1</v>
      </c>
      <c r="CL51">
        <v>0</v>
      </c>
      <c r="CM51">
        <v>0</v>
      </c>
      <c r="CN51">
        <v>1</v>
      </c>
      <c r="CO51">
        <v>0</v>
      </c>
      <c r="CP51">
        <v>0</v>
      </c>
      <c r="CQ51">
        <v>1</v>
      </c>
      <c r="CR51">
        <v>1</v>
      </c>
      <c r="CT51" t="s">
        <v>86</v>
      </c>
      <c r="DA51" s="11"/>
      <c r="DB51" s="406"/>
      <c r="DC51" s="309"/>
      <c r="DD51" s="210"/>
      <c r="DE51" s="316"/>
      <c r="DF51" s="75"/>
      <c r="DG51" s="419"/>
      <c r="DH51" s="12"/>
      <c r="DK51">
        <v>0</v>
      </c>
      <c r="DL51">
        <v>1</v>
      </c>
      <c r="DM51">
        <v>1</v>
      </c>
      <c r="DN51">
        <v>0</v>
      </c>
      <c r="DO51">
        <v>0</v>
      </c>
      <c r="DP51">
        <v>0</v>
      </c>
      <c r="DQ51">
        <v>1</v>
      </c>
      <c r="DR51">
        <v>1</v>
      </c>
      <c r="DT51" t="s">
        <v>115</v>
      </c>
      <c r="EA51" s="218"/>
      <c r="EB51" s="217"/>
      <c r="EC51" s="94"/>
      <c r="ED51" s="119"/>
      <c r="EE51" s="415"/>
      <c r="EF51" s="78"/>
      <c r="EG51" s="40"/>
      <c r="EH51" s="80"/>
      <c r="EK51">
        <v>0</v>
      </c>
      <c r="EL51">
        <v>1</v>
      </c>
      <c r="EM51">
        <v>0</v>
      </c>
      <c r="EN51">
        <v>1</v>
      </c>
      <c r="EO51">
        <v>1</v>
      </c>
      <c r="EP51">
        <v>0</v>
      </c>
      <c r="EQ51">
        <v>1</v>
      </c>
      <c r="ER51">
        <v>0</v>
      </c>
      <c r="ET51" t="s">
        <v>141</v>
      </c>
      <c r="FA51" s="223"/>
      <c r="FB51" s="322"/>
      <c r="FC51" s="44"/>
      <c r="FD51" s="83"/>
      <c r="FE51" s="48"/>
      <c r="FF51" s="78"/>
      <c r="FG51" s="68"/>
      <c r="FH51" s="87"/>
      <c r="FK51">
        <v>0</v>
      </c>
      <c r="FL51">
        <v>0</v>
      </c>
      <c r="FM51">
        <v>1</v>
      </c>
      <c r="FN51">
        <v>1</v>
      </c>
      <c r="FO51">
        <v>0</v>
      </c>
      <c r="FP51">
        <v>0</v>
      </c>
      <c r="FQ51">
        <v>1</v>
      </c>
      <c r="FR51">
        <v>0</v>
      </c>
      <c r="FT51" t="s">
        <v>13</v>
      </c>
    </row>
    <row r="52" spans="1:176" x14ac:dyDescent="0.25">
      <c r="T52" t="s">
        <v>33</v>
      </c>
      <c r="AT52" t="s">
        <v>61</v>
      </c>
      <c r="BT52" t="s">
        <v>72</v>
      </c>
      <c r="CT52" t="s">
        <v>96</v>
      </c>
      <c r="DT52" t="s">
        <v>116</v>
      </c>
      <c r="ET52" t="s">
        <v>153</v>
      </c>
      <c r="FT52" t="s">
        <v>137</v>
      </c>
    </row>
    <row r="60" spans="1:176" x14ac:dyDescent="0.25">
      <c r="A60" s="567" t="s">
        <v>73</v>
      </c>
      <c r="B60" s="567"/>
      <c r="C60" s="567"/>
      <c r="D60" s="567"/>
      <c r="E60" s="567"/>
      <c r="F60" s="567"/>
      <c r="G60" s="567"/>
      <c r="H60" s="567"/>
      <c r="I60" s="567"/>
      <c r="J60" s="567"/>
      <c r="K60" s="567" t="s">
        <v>74</v>
      </c>
      <c r="L60" s="567"/>
      <c r="M60" s="567"/>
      <c r="N60" s="567"/>
      <c r="O60" s="567"/>
      <c r="P60" s="567"/>
      <c r="Q60" s="567"/>
      <c r="R60" s="567"/>
      <c r="S60" s="567"/>
      <c r="T60" s="567"/>
      <c r="U60" s="567" t="s">
        <v>75</v>
      </c>
      <c r="V60" s="567"/>
      <c r="W60" s="567"/>
      <c r="X60" s="567"/>
      <c r="Y60" s="567"/>
      <c r="Z60" s="567"/>
      <c r="AA60" s="567"/>
      <c r="AB60" s="567"/>
      <c r="EA60" s="567" t="s">
        <v>73</v>
      </c>
      <c r="EB60" s="567"/>
      <c r="EC60" s="567"/>
      <c r="ED60" s="567"/>
      <c r="EE60" s="567"/>
      <c r="EF60" s="567"/>
      <c r="EG60" s="567"/>
      <c r="EH60" s="567"/>
      <c r="EI60" s="567"/>
      <c r="EJ60" s="567"/>
      <c r="EK60" s="567" t="s">
        <v>74</v>
      </c>
      <c r="EL60" s="567"/>
      <c r="EM60" s="567"/>
      <c r="EN60" s="567"/>
      <c r="EO60" s="567"/>
      <c r="EP60" s="567"/>
      <c r="EQ60" s="567"/>
      <c r="ER60" s="567"/>
      <c r="ES60" s="567"/>
      <c r="ET60" s="567"/>
      <c r="EU60" s="567" t="s">
        <v>75</v>
      </c>
      <c r="EV60" s="567"/>
      <c r="EW60" s="567"/>
      <c r="EX60" s="567"/>
      <c r="EY60" s="567"/>
      <c r="EZ60" s="567"/>
      <c r="FA60" s="567"/>
      <c r="FB60" s="567"/>
    </row>
    <row r="62" spans="1:176" x14ac:dyDescent="0.25">
      <c r="A62">
        <v>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K62">
        <v>1</v>
      </c>
      <c r="L62">
        <v>0</v>
      </c>
      <c r="M62">
        <v>1</v>
      </c>
      <c r="N62">
        <v>0</v>
      </c>
      <c r="O62">
        <v>0</v>
      </c>
      <c r="P62">
        <v>0</v>
      </c>
      <c r="Q62">
        <v>0</v>
      </c>
      <c r="R62">
        <v>1</v>
      </c>
      <c r="U62">
        <f>IF(_xlfn.XOR(A62,K62),1,0)</f>
        <v>0</v>
      </c>
      <c r="V62">
        <f t="shared" ref="V62:AB69" si="0">IF(_xlfn.XOR(B62,L62),1,0)</f>
        <v>0</v>
      </c>
      <c r="W62">
        <f t="shared" si="0"/>
        <v>1</v>
      </c>
      <c r="X62">
        <f t="shared" si="0"/>
        <v>0</v>
      </c>
      <c r="Y62">
        <f t="shared" si="0"/>
        <v>0</v>
      </c>
      <c r="Z62">
        <f t="shared" si="0"/>
        <v>0</v>
      </c>
      <c r="AA62">
        <f t="shared" si="0"/>
        <v>0</v>
      </c>
      <c r="AB62">
        <f t="shared" si="0"/>
        <v>0</v>
      </c>
      <c r="EA62">
        <v>1</v>
      </c>
      <c r="EB62">
        <v>0</v>
      </c>
      <c r="EC62">
        <v>1</v>
      </c>
      <c r="ED62">
        <v>1</v>
      </c>
      <c r="EE62">
        <v>1</v>
      </c>
      <c r="EF62">
        <v>0</v>
      </c>
      <c r="EG62">
        <v>0</v>
      </c>
      <c r="EH62">
        <v>0</v>
      </c>
      <c r="EK62">
        <v>1</v>
      </c>
      <c r="EL62">
        <v>0</v>
      </c>
      <c r="EM62">
        <v>1</v>
      </c>
      <c r="EN62">
        <v>1</v>
      </c>
      <c r="EO62">
        <v>1</v>
      </c>
      <c r="EP62">
        <v>0</v>
      </c>
      <c r="EQ62">
        <v>0</v>
      </c>
      <c r="ER62">
        <v>0</v>
      </c>
      <c r="EU62">
        <f>IF(_xlfn.XOR(EA62,EK62),1,0)</f>
        <v>0</v>
      </c>
      <c r="EV62">
        <f t="shared" ref="EV62:EV69" si="1">IF(_xlfn.XOR(EB62,EL62),1,0)</f>
        <v>0</v>
      </c>
      <c r="EW62">
        <f t="shared" ref="EW62:EW69" si="2">IF(_xlfn.XOR(EC62,EM62),1,0)</f>
        <v>0</v>
      </c>
      <c r="EX62">
        <f t="shared" ref="EX62:EX69" si="3">IF(_xlfn.XOR(ED62,EN62),1,0)</f>
        <v>0</v>
      </c>
      <c r="EY62">
        <f t="shared" ref="EY62:EY69" si="4">IF(_xlfn.XOR(EE62,EO62),1,0)</f>
        <v>0</v>
      </c>
      <c r="EZ62">
        <f t="shared" ref="EZ62:EZ69" si="5">IF(_xlfn.XOR(EF62,EP62),1,0)</f>
        <v>0</v>
      </c>
      <c r="FA62">
        <f t="shared" ref="FA62:FA69" si="6">IF(_xlfn.XOR(EG62,EQ62),1,0)</f>
        <v>0</v>
      </c>
      <c r="FB62">
        <f t="shared" ref="FB62:FB69" si="7">IF(_xlfn.XOR(EH62,ER62),1,0)</f>
        <v>0</v>
      </c>
    </row>
    <row r="63" spans="1:176" x14ac:dyDescent="0.25">
      <c r="A63">
        <v>1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K63">
        <v>1</v>
      </c>
      <c r="L63">
        <v>1</v>
      </c>
      <c r="M63">
        <v>0</v>
      </c>
      <c r="N63">
        <v>0</v>
      </c>
      <c r="O63">
        <v>0</v>
      </c>
      <c r="P63">
        <v>0</v>
      </c>
      <c r="Q63">
        <v>1</v>
      </c>
      <c r="R63">
        <v>0</v>
      </c>
      <c r="U63">
        <f t="shared" ref="U63:U69" si="8">IF(_xlfn.XOR(A63,K63),1,0)</f>
        <v>0</v>
      </c>
      <c r="V63">
        <f t="shared" si="0"/>
        <v>0</v>
      </c>
      <c r="W63">
        <f t="shared" si="0"/>
        <v>0</v>
      </c>
      <c r="X63">
        <f t="shared" si="0"/>
        <v>0</v>
      </c>
      <c r="Y63">
        <f t="shared" si="0"/>
        <v>0</v>
      </c>
      <c r="Z63">
        <f t="shared" si="0"/>
        <v>0</v>
      </c>
      <c r="AA63">
        <f t="shared" si="0"/>
        <v>1</v>
      </c>
      <c r="AB63">
        <f t="shared" si="0"/>
        <v>0</v>
      </c>
      <c r="EA63">
        <v>0</v>
      </c>
      <c r="EB63">
        <v>0</v>
      </c>
      <c r="EC63">
        <v>1</v>
      </c>
      <c r="ED63">
        <v>1</v>
      </c>
      <c r="EE63">
        <v>0</v>
      </c>
      <c r="EF63">
        <v>0</v>
      </c>
      <c r="EG63">
        <v>1</v>
      </c>
      <c r="EH63">
        <v>1</v>
      </c>
      <c r="EK63">
        <v>0</v>
      </c>
      <c r="EL63">
        <v>0</v>
      </c>
      <c r="EM63">
        <v>1</v>
      </c>
      <c r="EN63">
        <v>1</v>
      </c>
      <c r="EO63">
        <v>0</v>
      </c>
      <c r="EP63">
        <v>0</v>
      </c>
      <c r="EQ63">
        <v>1</v>
      </c>
      <c r="ER63">
        <v>1</v>
      </c>
      <c r="EU63">
        <f t="shared" ref="EU63:EU69" si="9">IF(_xlfn.XOR(EA63,EK63),1,0)</f>
        <v>0</v>
      </c>
      <c r="EV63">
        <f t="shared" si="1"/>
        <v>0</v>
      </c>
      <c r="EW63">
        <f t="shared" si="2"/>
        <v>0</v>
      </c>
      <c r="EX63">
        <f t="shared" si="3"/>
        <v>0</v>
      </c>
      <c r="EY63">
        <f t="shared" si="4"/>
        <v>0</v>
      </c>
      <c r="EZ63">
        <f t="shared" si="5"/>
        <v>0</v>
      </c>
      <c r="FA63">
        <f t="shared" si="6"/>
        <v>0</v>
      </c>
      <c r="FB63">
        <f t="shared" si="7"/>
        <v>0</v>
      </c>
    </row>
    <row r="64" spans="1:176" x14ac:dyDescent="0.25">
      <c r="A64">
        <v>1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1</v>
      </c>
      <c r="K64">
        <v>1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U64">
        <f t="shared" si="8"/>
        <v>0</v>
      </c>
      <c r="V64">
        <f t="shared" si="0"/>
        <v>0</v>
      </c>
      <c r="W64">
        <f t="shared" si="0"/>
        <v>0</v>
      </c>
      <c r="X64">
        <f t="shared" si="0"/>
        <v>0</v>
      </c>
      <c r="Y64">
        <f t="shared" si="0"/>
        <v>0</v>
      </c>
      <c r="Z64">
        <f t="shared" si="0"/>
        <v>0</v>
      </c>
      <c r="AA64">
        <f t="shared" si="0"/>
        <v>0</v>
      </c>
      <c r="AB64">
        <f t="shared" si="0"/>
        <v>0</v>
      </c>
      <c r="EA64">
        <v>0</v>
      </c>
      <c r="EB64">
        <v>1</v>
      </c>
      <c r="EC64">
        <v>0</v>
      </c>
      <c r="ED64">
        <v>1</v>
      </c>
      <c r="EE64">
        <v>0</v>
      </c>
      <c r="EF64">
        <v>0</v>
      </c>
      <c r="EG64">
        <v>1</v>
      </c>
      <c r="EH64">
        <v>1</v>
      </c>
      <c r="EK64">
        <v>0</v>
      </c>
      <c r="EL64">
        <v>0</v>
      </c>
      <c r="EM64">
        <v>0</v>
      </c>
      <c r="EN64">
        <v>1</v>
      </c>
      <c r="EO64">
        <v>0</v>
      </c>
      <c r="EP64">
        <v>0</v>
      </c>
      <c r="EQ64">
        <v>1</v>
      </c>
      <c r="ER64">
        <v>1</v>
      </c>
      <c r="EU64">
        <f t="shared" si="9"/>
        <v>0</v>
      </c>
      <c r="EV64">
        <f t="shared" si="1"/>
        <v>1</v>
      </c>
      <c r="EW64">
        <f t="shared" si="2"/>
        <v>0</v>
      </c>
      <c r="EX64">
        <f t="shared" si="3"/>
        <v>0</v>
      </c>
      <c r="EY64">
        <f t="shared" si="4"/>
        <v>0</v>
      </c>
      <c r="EZ64">
        <f t="shared" si="5"/>
        <v>0</v>
      </c>
      <c r="FA64">
        <f t="shared" si="6"/>
        <v>0</v>
      </c>
      <c r="FB64">
        <f t="shared" si="7"/>
        <v>0</v>
      </c>
    </row>
    <row r="65" spans="1:158" x14ac:dyDescent="0.25">
      <c r="A65">
        <v>1</v>
      </c>
      <c r="B65">
        <v>1</v>
      </c>
      <c r="C65">
        <v>0</v>
      </c>
      <c r="D65">
        <v>1</v>
      </c>
      <c r="E65">
        <v>1</v>
      </c>
      <c r="F65">
        <v>0</v>
      </c>
      <c r="G65">
        <v>0</v>
      </c>
      <c r="H65">
        <v>1</v>
      </c>
      <c r="K65">
        <v>1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1</v>
      </c>
      <c r="U65">
        <f t="shared" si="8"/>
        <v>0</v>
      </c>
      <c r="V65">
        <f t="shared" si="0"/>
        <v>1</v>
      </c>
      <c r="W65">
        <f t="shared" si="0"/>
        <v>0</v>
      </c>
      <c r="X65">
        <f t="shared" si="0"/>
        <v>1</v>
      </c>
      <c r="Y65">
        <f t="shared" si="0"/>
        <v>0</v>
      </c>
      <c r="Z65">
        <f t="shared" si="0"/>
        <v>0</v>
      </c>
      <c r="AA65">
        <f t="shared" si="0"/>
        <v>0</v>
      </c>
      <c r="AB65">
        <f t="shared" si="0"/>
        <v>0</v>
      </c>
      <c r="EA65">
        <v>0</v>
      </c>
      <c r="EB65">
        <v>1</v>
      </c>
      <c r="EC65">
        <v>1</v>
      </c>
      <c r="ED65">
        <v>1</v>
      </c>
      <c r="EE65">
        <v>0</v>
      </c>
      <c r="EF65">
        <v>0</v>
      </c>
      <c r="EG65">
        <v>1</v>
      </c>
      <c r="EH65">
        <v>1</v>
      </c>
      <c r="EK65">
        <v>0</v>
      </c>
      <c r="EL65">
        <v>0</v>
      </c>
      <c r="EM65">
        <v>0</v>
      </c>
      <c r="EN65">
        <v>1</v>
      </c>
      <c r="EO65">
        <v>0</v>
      </c>
      <c r="EP65">
        <v>0</v>
      </c>
      <c r="EQ65">
        <v>1</v>
      </c>
      <c r="ER65">
        <v>1</v>
      </c>
      <c r="EU65">
        <f t="shared" si="9"/>
        <v>0</v>
      </c>
      <c r="EV65">
        <f t="shared" si="1"/>
        <v>1</v>
      </c>
      <c r="EW65">
        <f t="shared" si="2"/>
        <v>1</v>
      </c>
      <c r="EX65">
        <f t="shared" si="3"/>
        <v>0</v>
      </c>
      <c r="EY65">
        <f t="shared" si="4"/>
        <v>0</v>
      </c>
      <c r="EZ65">
        <f t="shared" si="5"/>
        <v>0</v>
      </c>
      <c r="FA65">
        <f t="shared" si="6"/>
        <v>0</v>
      </c>
      <c r="FB65">
        <f t="shared" si="7"/>
        <v>0</v>
      </c>
    </row>
    <row r="66" spans="1:158" x14ac:dyDescent="0.25">
      <c r="A66">
        <v>1</v>
      </c>
      <c r="B66">
        <v>0</v>
      </c>
      <c r="C66">
        <v>1</v>
      </c>
      <c r="D66">
        <v>0</v>
      </c>
      <c r="E66">
        <v>0</v>
      </c>
      <c r="F66">
        <v>0</v>
      </c>
      <c r="G66">
        <v>0</v>
      </c>
      <c r="H66">
        <v>0</v>
      </c>
      <c r="K66">
        <v>1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U66">
        <f t="shared" si="8"/>
        <v>0</v>
      </c>
      <c r="V66">
        <f t="shared" si="0"/>
        <v>0</v>
      </c>
      <c r="W66">
        <f t="shared" si="0"/>
        <v>1</v>
      </c>
      <c r="X66">
        <f t="shared" si="0"/>
        <v>0</v>
      </c>
      <c r="Y66">
        <f t="shared" si="0"/>
        <v>0</v>
      </c>
      <c r="Z66">
        <f t="shared" si="0"/>
        <v>0</v>
      </c>
      <c r="AA66">
        <f t="shared" si="0"/>
        <v>0</v>
      </c>
      <c r="AB66">
        <f t="shared" si="0"/>
        <v>0</v>
      </c>
      <c r="EA66">
        <v>1</v>
      </c>
      <c r="EB66">
        <v>1</v>
      </c>
      <c r="EC66">
        <v>1</v>
      </c>
      <c r="ED66">
        <v>0</v>
      </c>
      <c r="EE66">
        <v>0</v>
      </c>
      <c r="EF66">
        <v>1</v>
      </c>
      <c r="EG66">
        <v>1</v>
      </c>
      <c r="EH66">
        <v>1</v>
      </c>
      <c r="EK66">
        <v>1</v>
      </c>
      <c r="EL66">
        <v>0</v>
      </c>
      <c r="EM66">
        <v>0</v>
      </c>
      <c r="EN66">
        <v>1</v>
      </c>
      <c r="EO66">
        <v>0</v>
      </c>
      <c r="EP66">
        <v>1</v>
      </c>
      <c r="EQ66">
        <v>1</v>
      </c>
      <c r="ER66">
        <v>1</v>
      </c>
      <c r="EU66">
        <f t="shared" si="9"/>
        <v>0</v>
      </c>
      <c r="EV66">
        <f t="shared" si="1"/>
        <v>1</v>
      </c>
      <c r="EW66">
        <f t="shared" si="2"/>
        <v>1</v>
      </c>
      <c r="EX66">
        <f t="shared" si="3"/>
        <v>1</v>
      </c>
      <c r="EY66">
        <f t="shared" si="4"/>
        <v>0</v>
      </c>
      <c r="EZ66">
        <f t="shared" si="5"/>
        <v>0</v>
      </c>
      <c r="FA66">
        <f t="shared" si="6"/>
        <v>0</v>
      </c>
      <c r="FB66">
        <f t="shared" si="7"/>
        <v>0</v>
      </c>
    </row>
    <row r="67" spans="1:158" x14ac:dyDescent="0.25">
      <c r="A67">
        <v>1</v>
      </c>
      <c r="B67">
        <v>0</v>
      </c>
      <c r="C67">
        <v>1</v>
      </c>
      <c r="D67">
        <v>1</v>
      </c>
      <c r="E67">
        <v>0</v>
      </c>
      <c r="F67">
        <v>1</v>
      </c>
      <c r="G67">
        <v>0</v>
      </c>
      <c r="H67">
        <v>0</v>
      </c>
      <c r="K67">
        <v>1</v>
      </c>
      <c r="L67">
        <v>0</v>
      </c>
      <c r="M67">
        <v>1</v>
      </c>
      <c r="N67">
        <v>0</v>
      </c>
      <c r="O67">
        <v>0</v>
      </c>
      <c r="P67">
        <v>1</v>
      </c>
      <c r="Q67">
        <v>0</v>
      </c>
      <c r="R67">
        <v>0</v>
      </c>
      <c r="U67">
        <f t="shared" si="8"/>
        <v>0</v>
      </c>
      <c r="V67">
        <f t="shared" si="0"/>
        <v>0</v>
      </c>
      <c r="W67">
        <f t="shared" si="0"/>
        <v>0</v>
      </c>
      <c r="X67">
        <f t="shared" si="0"/>
        <v>1</v>
      </c>
      <c r="Y67">
        <f t="shared" si="0"/>
        <v>0</v>
      </c>
      <c r="Z67">
        <f t="shared" si="0"/>
        <v>0</v>
      </c>
      <c r="AA67">
        <f t="shared" si="0"/>
        <v>0</v>
      </c>
      <c r="AB67">
        <f t="shared" si="0"/>
        <v>0</v>
      </c>
      <c r="EA67">
        <v>0</v>
      </c>
      <c r="EB67">
        <v>0</v>
      </c>
      <c r="EC67">
        <v>1</v>
      </c>
      <c r="ED67">
        <v>0</v>
      </c>
      <c r="EE67">
        <v>0</v>
      </c>
      <c r="EF67">
        <v>1</v>
      </c>
      <c r="EG67">
        <v>1</v>
      </c>
      <c r="EH67">
        <v>1</v>
      </c>
      <c r="EK67">
        <v>0</v>
      </c>
      <c r="EL67">
        <v>0</v>
      </c>
      <c r="EM67">
        <v>1</v>
      </c>
      <c r="EN67">
        <v>0</v>
      </c>
      <c r="EO67">
        <v>0</v>
      </c>
      <c r="EP67">
        <v>1</v>
      </c>
      <c r="EQ67">
        <v>1</v>
      </c>
      <c r="ER67">
        <v>1</v>
      </c>
      <c r="EU67">
        <f t="shared" si="9"/>
        <v>0</v>
      </c>
      <c r="EV67">
        <f t="shared" si="1"/>
        <v>0</v>
      </c>
      <c r="EW67">
        <f t="shared" si="2"/>
        <v>0</v>
      </c>
      <c r="EX67">
        <f t="shared" si="3"/>
        <v>0</v>
      </c>
      <c r="EY67">
        <f t="shared" si="4"/>
        <v>0</v>
      </c>
      <c r="EZ67">
        <f t="shared" si="5"/>
        <v>0</v>
      </c>
      <c r="FA67">
        <f t="shared" si="6"/>
        <v>0</v>
      </c>
      <c r="FB67">
        <f t="shared" si="7"/>
        <v>0</v>
      </c>
    </row>
    <row r="68" spans="1:158" x14ac:dyDescent="0.25">
      <c r="A68">
        <v>1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K68">
        <v>1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U68">
        <f t="shared" si="8"/>
        <v>0</v>
      </c>
      <c r="V68">
        <f t="shared" si="0"/>
        <v>0</v>
      </c>
      <c r="W68">
        <f t="shared" si="0"/>
        <v>0</v>
      </c>
      <c r="X68">
        <f t="shared" si="0"/>
        <v>0</v>
      </c>
      <c r="Y68">
        <f t="shared" si="0"/>
        <v>0</v>
      </c>
      <c r="Z68">
        <f t="shared" si="0"/>
        <v>0</v>
      </c>
      <c r="AA68">
        <f t="shared" si="0"/>
        <v>0</v>
      </c>
      <c r="AB68">
        <f t="shared" si="0"/>
        <v>0</v>
      </c>
      <c r="EA68">
        <v>0</v>
      </c>
      <c r="EB68">
        <v>0</v>
      </c>
      <c r="EC68">
        <v>1</v>
      </c>
      <c r="ED68">
        <v>1</v>
      </c>
      <c r="EE68">
        <v>0</v>
      </c>
      <c r="EF68">
        <v>0</v>
      </c>
      <c r="EG68">
        <v>1</v>
      </c>
      <c r="EH68">
        <v>1</v>
      </c>
      <c r="EK68">
        <v>0</v>
      </c>
      <c r="EL68">
        <v>0</v>
      </c>
      <c r="EM68">
        <v>0</v>
      </c>
      <c r="EN68">
        <v>1</v>
      </c>
      <c r="EO68">
        <v>0</v>
      </c>
      <c r="EP68">
        <v>0</v>
      </c>
      <c r="EQ68">
        <v>1</v>
      </c>
      <c r="ER68">
        <v>1</v>
      </c>
      <c r="EU68">
        <f t="shared" si="9"/>
        <v>0</v>
      </c>
      <c r="EV68">
        <f t="shared" si="1"/>
        <v>0</v>
      </c>
      <c r="EW68">
        <f t="shared" si="2"/>
        <v>1</v>
      </c>
      <c r="EX68">
        <f t="shared" si="3"/>
        <v>0</v>
      </c>
      <c r="EY68">
        <f t="shared" si="4"/>
        <v>0</v>
      </c>
      <c r="EZ68">
        <f t="shared" si="5"/>
        <v>0</v>
      </c>
      <c r="FA68">
        <f t="shared" si="6"/>
        <v>0</v>
      </c>
      <c r="FB68">
        <f t="shared" si="7"/>
        <v>0</v>
      </c>
    </row>
    <row r="69" spans="1:158" x14ac:dyDescent="0.25">
      <c r="A69">
        <v>0</v>
      </c>
      <c r="B69">
        <v>1</v>
      </c>
      <c r="C69">
        <v>1</v>
      </c>
      <c r="D69">
        <v>0</v>
      </c>
      <c r="E69">
        <v>0</v>
      </c>
      <c r="F69">
        <v>0</v>
      </c>
      <c r="G69">
        <v>1</v>
      </c>
      <c r="H69">
        <v>1</v>
      </c>
      <c r="K69">
        <v>0</v>
      </c>
      <c r="L69">
        <v>0</v>
      </c>
      <c r="M69">
        <v>1</v>
      </c>
      <c r="N69">
        <v>0</v>
      </c>
      <c r="O69">
        <v>0</v>
      </c>
      <c r="P69">
        <v>0</v>
      </c>
      <c r="Q69">
        <v>1</v>
      </c>
      <c r="R69">
        <v>1</v>
      </c>
      <c r="U69">
        <f t="shared" si="8"/>
        <v>0</v>
      </c>
      <c r="V69">
        <f t="shared" si="0"/>
        <v>1</v>
      </c>
      <c r="W69">
        <f t="shared" si="0"/>
        <v>0</v>
      </c>
      <c r="X69">
        <f t="shared" si="0"/>
        <v>0</v>
      </c>
      <c r="Y69">
        <f t="shared" si="0"/>
        <v>0</v>
      </c>
      <c r="Z69">
        <f t="shared" si="0"/>
        <v>0</v>
      </c>
      <c r="AA69">
        <f t="shared" si="0"/>
        <v>0</v>
      </c>
      <c r="AB69">
        <f t="shared" si="0"/>
        <v>0</v>
      </c>
      <c r="EA69">
        <v>0</v>
      </c>
      <c r="EB69">
        <v>0</v>
      </c>
      <c r="EC69">
        <v>1</v>
      </c>
      <c r="ED69">
        <v>1</v>
      </c>
      <c r="EE69">
        <v>0</v>
      </c>
      <c r="EF69">
        <v>0</v>
      </c>
      <c r="EG69">
        <v>1</v>
      </c>
      <c r="EH69">
        <v>0</v>
      </c>
      <c r="EK69">
        <v>1</v>
      </c>
      <c r="EL69">
        <v>0</v>
      </c>
      <c r="EM69">
        <v>1</v>
      </c>
      <c r="EN69">
        <v>0</v>
      </c>
      <c r="EO69">
        <v>0</v>
      </c>
      <c r="EP69">
        <v>0</v>
      </c>
      <c r="EQ69">
        <v>1</v>
      </c>
      <c r="ER69">
        <v>0</v>
      </c>
      <c r="EU69">
        <f t="shared" si="9"/>
        <v>1</v>
      </c>
      <c r="EV69">
        <f t="shared" si="1"/>
        <v>0</v>
      </c>
      <c r="EW69">
        <f t="shared" si="2"/>
        <v>0</v>
      </c>
      <c r="EX69">
        <f t="shared" si="3"/>
        <v>1</v>
      </c>
      <c r="EY69">
        <f t="shared" si="4"/>
        <v>0</v>
      </c>
      <c r="EZ69">
        <f t="shared" si="5"/>
        <v>0</v>
      </c>
      <c r="FA69">
        <f t="shared" si="6"/>
        <v>0</v>
      </c>
      <c r="FB69">
        <f t="shared" si="7"/>
        <v>0</v>
      </c>
    </row>
    <row r="70" spans="1:158" x14ac:dyDescent="0.25">
      <c r="U70" s="701">
        <f>SUM(U62:AB69)</f>
        <v>7</v>
      </c>
      <c r="V70" s="701"/>
      <c r="W70" s="701"/>
      <c r="X70" s="701"/>
      <c r="Y70" s="701"/>
      <c r="Z70" s="701"/>
      <c r="AA70" s="701"/>
      <c r="AB70" s="701"/>
      <c r="EU70" s="701">
        <f>SUM(EU62:FB69)</f>
        <v>9</v>
      </c>
      <c r="EV70" s="701"/>
      <c r="EW70" s="701"/>
      <c r="EX70" s="701"/>
      <c r="EY70" s="701"/>
      <c r="EZ70" s="701"/>
      <c r="FA70" s="701"/>
      <c r="FB70" s="701"/>
    </row>
    <row r="72" spans="1:158" x14ac:dyDescent="0.25">
      <c r="EK72">
        <v>1</v>
      </c>
      <c r="EL72">
        <v>0</v>
      </c>
      <c r="EM72">
        <v>1</v>
      </c>
      <c r="EN72">
        <v>1</v>
      </c>
      <c r="EO72">
        <v>1</v>
      </c>
      <c r="EP72">
        <v>0</v>
      </c>
      <c r="EQ72">
        <v>0</v>
      </c>
      <c r="ER72">
        <v>0</v>
      </c>
    </row>
    <row r="73" spans="1:158" x14ac:dyDescent="0.25">
      <c r="EK73">
        <v>0</v>
      </c>
      <c r="EL73">
        <v>0</v>
      </c>
      <c r="EM73">
        <v>1</v>
      </c>
      <c r="EN73">
        <v>1</v>
      </c>
      <c r="EO73">
        <v>0</v>
      </c>
      <c r="EP73">
        <v>0</v>
      </c>
      <c r="EQ73">
        <v>1</v>
      </c>
      <c r="ER73">
        <v>1</v>
      </c>
    </row>
    <row r="74" spans="1:158" x14ac:dyDescent="0.25">
      <c r="EK74">
        <v>0</v>
      </c>
      <c r="EL74">
        <v>0</v>
      </c>
      <c r="EM74">
        <v>0</v>
      </c>
      <c r="EN74">
        <v>1</v>
      </c>
      <c r="EO74">
        <v>0</v>
      </c>
      <c r="EP74">
        <v>0</v>
      </c>
      <c r="EQ74">
        <v>1</v>
      </c>
      <c r="ER74">
        <v>1</v>
      </c>
    </row>
    <row r="75" spans="1:158" x14ac:dyDescent="0.25">
      <c r="EK75">
        <v>0</v>
      </c>
      <c r="EL75">
        <v>0</v>
      </c>
      <c r="EM75">
        <v>0</v>
      </c>
      <c r="EN75">
        <v>1</v>
      </c>
      <c r="EO75">
        <v>0</v>
      </c>
      <c r="EP75">
        <v>0</v>
      </c>
      <c r="EQ75">
        <v>1</v>
      </c>
      <c r="ER75">
        <v>1</v>
      </c>
    </row>
    <row r="76" spans="1:158" x14ac:dyDescent="0.25">
      <c r="EK76">
        <v>1</v>
      </c>
      <c r="EL76">
        <v>0</v>
      </c>
      <c r="EM76">
        <v>0</v>
      </c>
      <c r="EN76">
        <v>1</v>
      </c>
      <c r="EO76">
        <v>0</v>
      </c>
      <c r="EP76">
        <v>1</v>
      </c>
      <c r="EQ76">
        <v>1</v>
      </c>
      <c r="ER76">
        <v>1</v>
      </c>
    </row>
    <row r="77" spans="1:158" x14ac:dyDescent="0.25">
      <c r="EK77">
        <v>0</v>
      </c>
      <c r="EL77">
        <v>0</v>
      </c>
      <c r="EM77">
        <v>1</v>
      </c>
      <c r="EN77">
        <v>0</v>
      </c>
      <c r="EO77">
        <v>0</v>
      </c>
      <c r="EP77">
        <v>1</v>
      </c>
      <c r="EQ77">
        <v>1</v>
      </c>
      <c r="ER77">
        <v>1</v>
      </c>
    </row>
    <row r="78" spans="1:158" x14ac:dyDescent="0.25">
      <c r="EK78">
        <v>0</v>
      </c>
      <c r="EL78">
        <v>0</v>
      </c>
      <c r="EM78">
        <v>0</v>
      </c>
      <c r="EN78">
        <v>1</v>
      </c>
      <c r="EO78">
        <v>0</v>
      </c>
      <c r="EP78">
        <v>0</v>
      </c>
      <c r="EQ78">
        <v>1</v>
      </c>
      <c r="ER78">
        <v>1</v>
      </c>
    </row>
    <row r="79" spans="1:158" x14ac:dyDescent="0.25">
      <c r="EK79">
        <v>1</v>
      </c>
      <c r="EL79">
        <v>0</v>
      </c>
      <c r="EM79">
        <v>1</v>
      </c>
      <c r="EN79">
        <v>0</v>
      </c>
      <c r="EO79">
        <v>0</v>
      </c>
      <c r="EP79">
        <v>0</v>
      </c>
      <c r="EQ79">
        <v>1</v>
      </c>
      <c r="ER79">
        <v>0</v>
      </c>
    </row>
    <row r="82" spans="141:148" x14ac:dyDescent="0.25">
      <c r="EK82">
        <v>1</v>
      </c>
      <c r="EL82">
        <v>0</v>
      </c>
      <c r="EM82">
        <v>1</v>
      </c>
      <c r="EN82">
        <v>1</v>
      </c>
      <c r="EO82">
        <v>1</v>
      </c>
      <c r="EP82">
        <v>1</v>
      </c>
      <c r="EQ82">
        <v>0</v>
      </c>
      <c r="ER82">
        <v>0</v>
      </c>
    </row>
    <row r="83" spans="141:148" x14ac:dyDescent="0.25">
      <c r="EK83">
        <v>0</v>
      </c>
      <c r="EL83">
        <v>1</v>
      </c>
      <c r="EM83">
        <v>1</v>
      </c>
      <c r="EN83">
        <v>1</v>
      </c>
      <c r="EO83">
        <v>0</v>
      </c>
      <c r="EP83">
        <v>0</v>
      </c>
      <c r="EQ83">
        <v>1</v>
      </c>
      <c r="ER83">
        <v>0</v>
      </c>
    </row>
    <row r="84" spans="141:148" x14ac:dyDescent="0.25">
      <c r="EK84">
        <v>0</v>
      </c>
      <c r="EL84">
        <v>1</v>
      </c>
      <c r="EM84">
        <v>1</v>
      </c>
      <c r="EN84">
        <v>1</v>
      </c>
      <c r="EO84">
        <v>0</v>
      </c>
      <c r="EP84">
        <v>0</v>
      </c>
      <c r="EQ84">
        <v>1</v>
      </c>
      <c r="ER84">
        <v>1</v>
      </c>
    </row>
    <row r="85" spans="141:148" x14ac:dyDescent="0.25">
      <c r="EK85">
        <v>0</v>
      </c>
      <c r="EL85">
        <v>1</v>
      </c>
      <c r="EM85">
        <v>1</v>
      </c>
      <c r="EN85">
        <v>1</v>
      </c>
      <c r="EO85">
        <v>0</v>
      </c>
      <c r="EP85">
        <v>0</v>
      </c>
      <c r="EQ85">
        <v>1</v>
      </c>
      <c r="ER85">
        <v>0</v>
      </c>
    </row>
    <row r="86" spans="141:148" x14ac:dyDescent="0.25">
      <c r="EK86">
        <v>0</v>
      </c>
      <c r="EL86">
        <v>1</v>
      </c>
      <c r="EM86">
        <v>1</v>
      </c>
      <c r="EN86">
        <v>1</v>
      </c>
      <c r="EO86">
        <v>0</v>
      </c>
      <c r="EP86">
        <v>1</v>
      </c>
      <c r="EQ86">
        <v>1</v>
      </c>
      <c r="ER86">
        <v>1</v>
      </c>
    </row>
    <row r="87" spans="141:148" x14ac:dyDescent="0.25">
      <c r="EK87">
        <v>0</v>
      </c>
      <c r="EL87">
        <v>0</v>
      </c>
      <c r="EM87">
        <v>1</v>
      </c>
      <c r="EN87">
        <v>1</v>
      </c>
      <c r="EO87">
        <v>0</v>
      </c>
      <c r="EP87">
        <v>1</v>
      </c>
      <c r="EQ87">
        <v>1</v>
      </c>
      <c r="ER87">
        <v>1</v>
      </c>
    </row>
    <row r="88" spans="141:148" x14ac:dyDescent="0.25">
      <c r="EK88">
        <v>0</v>
      </c>
      <c r="EL88">
        <v>0</v>
      </c>
      <c r="EM88">
        <v>1</v>
      </c>
      <c r="EN88">
        <v>1</v>
      </c>
      <c r="EO88">
        <v>0</v>
      </c>
      <c r="EP88">
        <v>0</v>
      </c>
      <c r="EQ88">
        <v>1</v>
      </c>
      <c r="ER88">
        <v>0</v>
      </c>
    </row>
    <row r="89" spans="141:148" x14ac:dyDescent="0.25">
      <c r="EK89">
        <v>0</v>
      </c>
      <c r="EL89">
        <v>0</v>
      </c>
      <c r="EM89">
        <v>1</v>
      </c>
      <c r="EN89">
        <v>1</v>
      </c>
      <c r="EO89">
        <v>0</v>
      </c>
      <c r="EP89">
        <v>0</v>
      </c>
      <c r="EQ89">
        <v>1</v>
      </c>
      <c r="ER89">
        <v>0</v>
      </c>
    </row>
  </sheetData>
  <mergeCells count="2">
    <mergeCell ref="U70:AB70"/>
    <mergeCell ref="EU70:FB7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A1C00-AC6B-4B82-8EB3-539753A30F0A}">
  <sheetPr codeName="Sheet3"/>
  <dimension ref="C4:AD38"/>
  <sheetViews>
    <sheetView tabSelected="1" topLeftCell="A37" workbookViewId="0">
      <selection activeCell="T27" sqref="T27"/>
    </sheetView>
  </sheetViews>
  <sheetFormatPr defaultColWidth="3.140625" defaultRowHeight="15" x14ac:dyDescent="0.25"/>
  <cols>
    <col min="3" max="3" width="2.85546875" customWidth="1"/>
    <col min="5" max="5" width="3.140625" customWidth="1"/>
    <col min="17" max="17" width="12" bestFit="1" customWidth="1"/>
  </cols>
  <sheetData>
    <row r="4" spans="3:30" x14ac:dyDescent="0.25">
      <c r="C4" t="s">
        <v>73</v>
      </c>
      <c r="M4" t="s">
        <v>74</v>
      </c>
      <c r="W4" t="s">
        <v>75</v>
      </c>
    </row>
    <row r="6" spans="3:30" x14ac:dyDescent="0.25">
      <c r="C6">
        <v>1</v>
      </c>
      <c r="D6">
        <v>0</v>
      </c>
      <c r="E6">
        <v>1</v>
      </c>
      <c r="F6">
        <v>1</v>
      </c>
      <c r="G6">
        <v>0</v>
      </c>
      <c r="H6">
        <v>0</v>
      </c>
      <c r="I6">
        <v>0</v>
      </c>
      <c r="J6">
        <v>1</v>
      </c>
      <c r="M6">
        <v>1</v>
      </c>
      <c r="N6">
        <v>0</v>
      </c>
      <c r="O6">
        <v>1</v>
      </c>
      <c r="P6">
        <v>0</v>
      </c>
      <c r="Q6">
        <v>0</v>
      </c>
      <c r="R6">
        <v>0</v>
      </c>
      <c r="S6">
        <v>0</v>
      </c>
      <c r="T6">
        <v>1</v>
      </c>
      <c r="W6">
        <f>IF(_xlfn.XOR(C6,M6),1,0)</f>
        <v>0</v>
      </c>
      <c r="X6">
        <f t="shared" ref="X6:AD6" si="0">IF(_xlfn.XOR(D6,N6),1,0)</f>
        <v>0</v>
      </c>
      <c r="Y6">
        <f t="shared" si="0"/>
        <v>0</v>
      </c>
      <c r="Z6">
        <f t="shared" si="0"/>
        <v>1</v>
      </c>
      <c r="AA6">
        <f t="shared" si="0"/>
        <v>0</v>
      </c>
      <c r="AB6">
        <f t="shared" si="0"/>
        <v>0</v>
      </c>
      <c r="AC6">
        <f t="shared" si="0"/>
        <v>0</v>
      </c>
      <c r="AD6">
        <f t="shared" si="0"/>
        <v>0</v>
      </c>
    </row>
    <row r="7" spans="3:30" x14ac:dyDescent="0.25">
      <c r="C7">
        <v>1</v>
      </c>
      <c r="D7">
        <v>0</v>
      </c>
      <c r="E7">
        <v>0</v>
      </c>
      <c r="F7">
        <v>0</v>
      </c>
      <c r="G7">
        <v>0</v>
      </c>
      <c r="H7">
        <v>1</v>
      </c>
      <c r="I7">
        <v>1</v>
      </c>
      <c r="J7">
        <v>0</v>
      </c>
      <c r="M7">
        <v>1</v>
      </c>
      <c r="N7">
        <v>1</v>
      </c>
      <c r="O7">
        <v>0</v>
      </c>
      <c r="P7">
        <v>0</v>
      </c>
      <c r="Q7">
        <v>0</v>
      </c>
      <c r="R7">
        <v>0</v>
      </c>
      <c r="S7">
        <v>1</v>
      </c>
      <c r="T7">
        <v>0</v>
      </c>
      <c r="W7">
        <f t="shared" ref="W7:W13" si="1">IF(_xlfn.XOR(C7,M7),1,0)</f>
        <v>0</v>
      </c>
      <c r="X7">
        <f t="shared" ref="X7:X13" si="2">IF(_xlfn.XOR(D7,N7),1,0)</f>
        <v>1</v>
      </c>
      <c r="Y7">
        <f t="shared" ref="Y7:Y13" si="3">IF(_xlfn.XOR(E7,O7),1,0)</f>
        <v>0</v>
      </c>
      <c r="Z7">
        <f t="shared" ref="Z7:Z13" si="4">IF(_xlfn.XOR(F7,P7),1,0)</f>
        <v>0</v>
      </c>
      <c r="AA7">
        <f t="shared" ref="AA7:AA13" si="5">IF(_xlfn.XOR(G7,Q7),1,0)</f>
        <v>0</v>
      </c>
      <c r="AB7">
        <f t="shared" ref="AB7:AB13" si="6">IF(_xlfn.XOR(H7,R7),1,0)</f>
        <v>1</v>
      </c>
      <c r="AC7">
        <f t="shared" ref="AC7:AC13" si="7">IF(_xlfn.XOR(I7,S7),1,0)</f>
        <v>0</v>
      </c>
      <c r="AD7">
        <f t="shared" ref="AD7:AD13" si="8">IF(_xlfn.XOR(J7,T7),1,0)</f>
        <v>0</v>
      </c>
    </row>
    <row r="8" spans="3:30" x14ac:dyDescent="0.25">
      <c r="C8">
        <v>1</v>
      </c>
      <c r="D8">
        <v>1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M8">
        <v>1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W8">
        <f t="shared" si="1"/>
        <v>0</v>
      </c>
      <c r="X8">
        <f t="shared" si="2"/>
        <v>0</v>
      </c>
      <c r="Y8">
        <f t="shared" si="3"/>
        <v>1</v>
      </c>
      <c r="Z8">
        <f t="shared" si="4"/>
        <v>0</v>
      </c>
      <c r="AA8">
        <f t="shared" si="5"/>
        <v>0</v>
      </c>
      <c r="AB8">
        <f t="shared" si="6"/>
        <v>0</v>
      </c>
      <c r="AC8">
        <f t="shared" si="7"/>
        <v>0</v>
      </c>
      <c r="AD8">
        <f t="shared" si="8"/>
        <v>1</v>
      </c>
    </row>
    <row r="9" spans="3:30" x14ac:dyDescent="0.25">
      <c r="C9">
        <v>1</v>
      </c>
      <c r="D9">
        <v>0</v>
      </c>
      <c r="E9">
        <v>0</v>
      </c>
      <c r="F9">
        <v>1</v>
      </c>
      <c r="G9">
        <v>0</v>
      </c>
      <c r="H9">
        <v>0</v>
      </c>
      <c r="I9">
        <v>0</v>
      </c>
      <c r="J9">
        <v>1</v>
      </c>
      <c r="M9">
        <v>1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1</v>
      </c>
      <c r="W9">
        <f t="shared" si="1"/>
        <v>0</v>
      </c>
      <c r="X9">
        <f t="shared" si="2"/>
        <v>0</v>
      </c>
      <c r="Y9">
        <f t="shared" si="3"/>
        <v>0</v>
      </c>
      <c r="Z9">
        <f t="shared" si="4"/>
        <v>1</v>
      </c>
      <c r="AA9">
        <f t="shared" si="5"/>
        <v>1</v>
      </c>
      <c r="AB9">
        <f t="shared" si="6"/>
        <v>0</v>
      </c>
      <c r="AC9">
        <f t="shared" si="7"/>
        <v>0</v>
      </c>
      <c r="AD9">
        <f t="shared" si="8"/>
        <v>0</v>
      </c>
    </row>
    <row r="10" spans="3:30" x14ac:dyDescent="0.25">
      <c r="C10">
        <v>1</v>
      </c>
      <c r="D10">
        <v>1</v>
      </c>
      <c r="E10">
        <v>0</v>
      </c>
      <c r="F10">
        <v>1</v>
      </c>
      <c r="G10">
        <v>0</v>
      </c>
      <c r="H10">
        <v>0</v>
      </c>
      <c r="I10">
        <v>0</v>
      </c>
      <c r="J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W10">
        <f t="shared" si="1"/>
        <v>0</v>
      </c>
      <c r="X10">
        <f t="shared" si="2"/>
        <v>1</v>
      </c>
      <c r="Y10">
        <f t="shared" si="3"/>
        <v>0</v>
      </c>
      <c r="Z10">
        <f t="shared" si="4"/>
        <v>1</v>
      </c>
      <c r="AA10">
        <f t="shared" si="5"/>
        <v>0</v>
      </c>
      <c r="AB10">
        <f t="shared" si="6"/>
        <v>0</v>
      </c>
      <c r="AC10">
        <f t="shared" si="7"/>
        <v>0</v>
      </c>
      <c r="AD10">
        <f t="shared" si="8"/>
        <v>0</v>
      </c>
    </row>
    <row r="11" spans="3:30" x14ac:dyDescent="0.25">
      <c r="C11">
        <v>1</v>
      </c>
      <c r="D11">
        <v>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M11">
        <v>1</v>
      </c>
      <c r="N11">
        <v>0</v>
      </c>
      <c r="O11">
        <v>1</v>
      </c>
      <c r="P11">
        <v>0</v>
      </c>
      <c r="Q11">
        <v>0</v>
      </c>
      <c r="R11">
        <v>1</v>
      </c>
      <c r="S11">
        <v>0</v>
      </c>
      <c r="T11">
        <v>0</v>
      </c>
      <c r="W11">
        <f t="shared" si="1"/>
        <v>0</v>
      </c>
      <c r="X11">
        <f t="shared" si="2"/>
        <v>0</v>
      </c>
      <c r="Y11">
        <f t="shared" si="3"/>
        <v>0</v>
      </c>
      <c r="Z11">
        <f t="shared" si="4"/>
        <v>1</v>
      </c>
      <c r="AA11">
        <f t="shared" si="5"/>
        <v>0</v>
      </c>
      <c r="AB11">
        <f t="shared" si="6"/>
        <v>1</v>
      </c>
      <c r="AC11">
        <f t="shared" si="7"/>
        <v>0</v>
      </c>
      <c r="AD11">
        <f t="shared" si="8"/>
        <v>1</v>
      </c>
    </row>
    <row r="12" spans="3:30" x14ac:dyDescent="0.25">
      <c r="C12">
        <v>0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W12">
        <f t="shared" si="1"/>
        <v>1</v>
      </c>
      <c r="X12">
        <f t="shared" si="2"/>
        <v>0</v>
      </c>
      <c r="Y12">
        <f t="shared" si="3"/>
        <v>0</v>
      </c>
      <c r="Z12">
        <f t="shared" si="4"/>
        <v>0</v>
      </c>
      <c r="AA12">
        <f t="shared" si="5"/>
        <v>1</v>
      </c>
      <c r="AB12">
        <f t="shared" si="6"/>
        <v>1</v>
      </c>
      <c r="AC12">
        <f t="shared" si="7"/>
        <v>0</v>
      </c>
      <c r="AD12">
        <f t="shared" si="8"/>
        <v>0</v>
      </c>
    </row>
    <row r="13" spans="3:30" x14ac:dyDescent="0.25">
      <c r="C13">
        <v>1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1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1</v>
      </c>
      <c r="T13">
        <v>1</v>
      </c>
      <c r="W13">
        <f t="shared" si="1"/>
        <v>1</v>
      </c>
      <c r="X13">
        <f t="shared" si="2"/>
        <v>0</v>
      </c>
      <c r="Y13">
        <f t="shared" si="3"/>
        <v>1</v>
      </c>
      <c r="Z13">
        <f t="shared" si="4"/>
        <v>1</v>
      </c>
      <c r="AA13">
        <f t="shared" si="5"/>
        <v>0</v>
      </c>
      <c r="AB13">
        <f t="shared" si="6"/>
        <v>0</v>
      </c>
      <c r="AC13">
        <f t="shared" si="7"/>
        <v>0</v>
      </c>
      <c r="AD13">
        <f t="shared" si="8"/>
        <v>0</v>
      </c>
    </row>
    <row r="14" spans="3:30" x14ac:dyDescent="0.25">
      <c r="W14" s="701">
        <f>SUM(W6:AD13)</f>
        <v>18</v>
      </c>
      <c r="X14" s="701"/>
      <c r="Y14" s="701"/>
      <c r="Z14" s="701"/>
      <c r="AA14" s="701"/>
      <c r="AB14" s="701"/>
      <c r="AC14" s="701"/>
      <c r="AD14" s="701"/>
    </row>
    <row r="19" spans="3:17" x14ac:dyDescent="0.25">
      <c r="C19">
        <f>LEN(D19)</f>
        <v>384</v>
      </c>
      <c r="D19" t="s">
        <v>1</v>
      </c>
    </row>
    <row r="20" spans="3:17" x14ac:dyDescent="0.25">
      <c r="C20">
        <f>LEN(D20)</f>
        <v>384</v>
      </c>
      <c r="D20" t="s">
        <v>154</v>
      </c>
    </row>
    <row r="22" spans="3:17" x14ac:dyDescent="0.25">
      <c r="C22" s="702">
        <v>1</v>
      </c>
      <c r="D22" s="703">
        <v>2</v>
      </c>
      <c r="E22" s="703">
        <v>3</v>
      </c>
      <c r="F22" s="704">
        <v>4</v>
      </c>
      <c r="G22" s="714">
        <v>1</v>
      </c>
      <c r="H22" s="715">
        <v>2</v>
      </c>
      <c r="I22" s="715">
        <v>3</v>
      </c>
      <c r="J22" s="716">
        <v>4</v>
      </c>
      <c r="Q22">
        <f>16^16</f>
        <v>1.8446744073709552E+19</v>
      </c>
    </row>
    <row r="23" spans="3:17" x14ac:dyDescent="0.25">
      <c r="C23" s="705">
        <f>C22+4</f>
        <v>5</v>
      </c>
      <c r="D23" s="706">
        <f>C23+1</f>
        <v>6</v>
      </c>
      <c r="E23" s="706">
        <f t="shared" ref="E23:F23" si="9">D23+1</f>
        <v>7</v>
      </c>
      <c r="F23" s="707">
        <f t="shared" si="9"/>
        <v>8</v>
      </c>
      <c r="G23" s="723">
        <f>G22+4</f>
        <v>5</v>
      </c>
      <c r="H23" s="724">
        <f>G23+1</f>
        <v>6</v>
      </c>
      <c r="I23" s="724">
        <f t="shared" ref="I23:J23" si="10">H23+1</f>
        <v>7</v>
      </c>
      <c r="J23" s="725">
        <f t="shared" si="10"/>
        <v>8</v>
      </c>
      <c r="Q23">
        <f>64^16</f>
        <v>7.9228162514264338E+28</v>
      </c>
    </row>
    <row r="24" spans="3:17" x14ac:dyDescent="0.25">
      <c r="C24" s="705">
        <f t="shared" ref="C24:C25" si="11">C23+4</f>
        <v>9</v>
      </c>
      <c r="D24" s="706">
        <f t="shared" ref="D24:F24" si="12">C24+1</f>
        <v>10</v>
      </c>
      <c r="E24" s="706">
        <f t="shared" si="12"/>
        <v>11</v>
      </c>
      <c r="F24" s="707">
        <f t="shared" si="12"/>
        <v>12</v>
      </c>
      <c r="G24" s="723">
        <f t="shared" ref="G24:G25" si="13">G23+4</f>
        <v>9</v>
      </c>
      <c r="H24" s="724">
        <f t="shared" ref="H24:J24" si="14">G24+1</f>
        <v>10</v>
      </c>
      <c r="I24" s="724">
        <f t="shared" si="14"/>
        <v>11</v>
      </c>
      <c r="J24" s="725">
        <f t="shared" si="14"/>
        <v>12</v>
      </c>
      <c r="Q24">
        <f>Q22*4</f>
        <v>7.3786976294838206E+19</v>
      </c>
    </row>
    <row r="25" spans="3:17" x14ac:dyDescent="0.25">
      <c r="C25" s="708">
        <f t="shared" si="11"/>
        <v>13</v>
      </c>
      <c r="D25" s="709">
        <f t="shared" ref="D25:F25" si="15">C25+1</f>
        <v>14</v>
      </c>
      <c r="E25" s="709">
        <f t="shared" si="15"/>
        <v>15</v>
      </c>
      <c r="F25" s="710">
        <f t="shared" si="15"/>
        <v>16</v>
      </c>
      <c r="G25" s="726">
        <f t="shared" si="13"/>
        <v>13</v>
      </c>
      <c r="H25" s="727">
        <f t="shared" ref="H25:J25" si="16">G25+1</f>
        <v>14</v>
      </c>
      <c r="I25" s="727">
        <f t="shared" si="16"/>
        <v>15</v>
      </c>
      <c r="J25" s="728">
        <f t="shared" si="16"/>
        <v>16</v>
      </c>
    </row>
    <row r="26" spans="3:17" x14ac:dyDescent="0.25">
      <c r="C26" s="711">
        <v>1</v>
      </c>
      <c r="D26" s="712">
        <v>2</v>
      </c>
      <c r="E26" s="712">
        <v>3</v>
      </c>
      <c r="F26" s="713">
        <v>4</v>
      </c>
      <c r="G26" s="732">
        <v>1</v>
      </c>
      <c r="H26" s="733">
        <v>2</v>
      </c>
      <c r="I26" s="733">
        <v>3</v>
      </c>
      <c r="J26" s="734">
        <v>4</v>
      </c>
      <c r="Q26">
        <v>64</v>
      </c>
    </row>
    <row r="27" spans="3:17" x14ac:dyDescent="0.25">
      <c r="C27" s="717">
        <f>C26+4</f>
        <v>5</v>
      </c>
      <c r="D27" s="718">
        <f>C27+1</f>
        <v>6</v>
      </c>
      <c r="E27" s="718">
        <f t="shared" ref="E27:F27" si="17">D27+1</f>
        <v>7</v>
      </c>
      <c r="F27" s="719">
        <f t="shared" si="17"/>
        <v>8</v>
      </c>
      <c r="G27" s="720">
        <f>G26+4</f>
        <v>5</v>
      </c>
      <c r="H27" s="721">
        <f>G27+1</f>
        <v>6</v>
      </c>
      <c r="I27" s="721">
        <f t="shared" ref="I27:J27" si="18">H27+1</f>
        <v>7</v>
      </c>
      <c r="J27" s="722">
        <f t="shared" si="18"/>
        <v>8</v>
      </c>
      <c r="Q27">
        <v>20</v>
      </c>
    </row>
    <row r="28" spans="3:17" x14ac:dyDescent="0.25">
      <c r="C28" s="717">
        <f t="shared" ref="C28:C29" si="19">C27+4</f>
        <v>9</v>
      </c>
      <c r="D28" s="718">
        <f t="shared" ref="D28:F28" si="20">C28+1</f>
        <v>10</v>
      </c>
      <c r="E28" s="718">
        <f t="shared" si="20"/>
        <v>11</v>
      </c>
      <c r="F28" s="719">
        <f t="shared" si="20"/>
        <v>12</v>
      </c>
      <c r="G28" s="720">
        <f t="shared" ref="G28:G29" si="21">G27+4</f>
        <v>9</v>
      </c>
      <c r="H28" s="721">
        <f t="shared" ref="H28:J28" si="22">G28+1</f>
        <v>10</v>
      </c>
      <c r="I28" s="721">
        <f t="shared" si="22"/>
        <v>11</v>
      </c>
      <c r="J28" s="722">
        <f t="shared" si="22"/>
        <v>12</v>
      </c>
    </row>
    <row r="29" spans="3:17" x14ac:dyDescent="0.25">
      <c r="C29" s="729">
        <f t="shared" si="19"/>
        <v>13</v>
      </c>
      <c r="D29" s="730">
        <f t="shared" ref="D29:F29" si="23">C29+1</f>
        <v>14</v>
      </c>
      <c r="E29" s="730">
        <f t="shared" si="23"/>
        <v>15</v>
      </c>
      <c r="F29" s="731">
        <f t="shared" si="23"/>
        <v>16</v>
      </c>
      <c r="G29" s="735">
        <f t="shared" si="21"/>
        <v>13</v>
      </c>
      <c r="H29" s="736">
        <f t="shared" ref="H29:J29" si="24">G29+1</f>
        <v>14</v>
      </c>
      <c r="I29" s="736">
        <f t="shared" si="24"/>
        <v>15</v>
      </c>
      <c r="J29" s="737">
        <f t="shared" si="24"/>
        <v>16</v>
      </c>
    </row>
    <row r="31" spans="3:17" x14ac:dyDescent="0.25">
      <c r="C31" s="738">
        <v>1</v>
      </c>
      <c r="D31" s="739">
        <f>C31+1</f>
        <v>2</v>
      </c>
      <c r="E31" s="739">
        <f t="shared" ref="E31:J32" si="25">D31+1</f>
        <v>3</v>
      </c>
      <c r="F31" s="739">
        <f t="shared" si="25"/>
        <v>4</v>
      </c>
      <c r="G31" s="739">
        <f t="shared" si="25"/>
        <v>5</v>
      </c>
      <c r="H31" s="739">
        <f t="shared" si="25"/>
        <v>6</v>
      </c>
      <c r="I31" s="739">
        <f t="shared" si="25"/>
        <v>7</v>
      </c>
      <c r="J31" s="740">
        <f t="shared" si="25"/>
        <v>8</v>
      </c>
    </row>
    <row r="32" spans="3:17" x14ac:dyDescent="0.25">
      <c r="C32" s="741">
        <f>C31+8</f>
        <v>9</v>
      </c>
      <c r="D32" s="742">
        <f>C32+1</f>
        <v>10</v>
      </c>
      <c r="E32" s="742">
        <f t="shared" si="25"/>
        <v>11</v>
      </c>
      <c r="F32" s="742">
        <f t="shared" si="25"/>
        <v>12</v>
      </c>
      <c r="G32" s="742">
        <f t="shared" si="25"/>
        <v>13</v>
      </c>
      <c r="H32" s="742">
        <f t="shared" si="25"/>
        <v>14</v>
      </c>
      <c r="I32" s="742">
        <f t="shared" si="25"/>
        <v>15</v>
      </c>
      <c r="J32" s="743">
        <f t="shared" si="25"/>
        <v>16</v>
      </c>
    </row>
    <row r="33" spans="3:10" x14ac:dyDescent="0.25">
      <c r="C33" s="714">
        <v>1</v>
      </c>
      <c r="D33" s="715">
        <f>C33+1</f>
        <v>2</v>
      </c>
      <c r="E33" s="715">
        <f t="shared" ref="E33:J33" si="26">D33+1</f>
        <v>3</v>
      </c>
      <c r="F33" s="715">
        <f t="shared" si="26"/>
        <v>4</v>
      </c>
      <c r="G33" s="715">
        <f t="shared" si="26"/>
        <v>5</v>
      </c>
      <c r="H33" s="715">
        <f t="shared" si="26"/>
        <v>6</v>
      </c>
      <c r="I33" s="715">
        <f t="shared" si="26"/>
        <v>7</v>
      </c>
      <c r="J33" s="716">
        <f t="shared" si="26"/>
        <v>8</v>
      </c>
    </row>
    <row r="34" spans="3:10" x14ac:dyDescent="0.25">
      <c r="C34" s="726">
        <f>C33+8</f>
        <v>9</v>
      </c>
      <c r="D34" s="727">
        <f>C34+1</f>
        <v>10</v>
      </c>
      <c r="E34" s="727">
        <f t="shared" ref="E34:J34" si="27">D34+1</f>
        <v>11</v>
      </c>
      <c r="F34" s="727">
        <f t="shared" si="27"/>
        <v>12</v>
      </c>
      <c r="G34" s="727">
        <f t="shared" si="27"/>
        <v>13</v>
      </c>
      <c r="H34" s="727">
        <f t="shared" si="27"/>
        <v>14</v>
      </c>
      <c r="I34" s="727">
        <f t="shared" si="27"/>
        <v>15</v>
      </c>
      <c r="J34" s="728">
        <f t="shared" si="27"/>
        <v>16</v>
      </c>
    </row>
    <row r="35" spans="3:10" x14ac:dyDescent="0.25">
      <c r="C35" s="711">
        <v>1</v>
      </c>
      <c r="D35" s="712">
        <f>C35+1</f>
        <v>2</v>
      </c>
      <c r="E35" s="712">
        <f t="shared" ref="E35:J35" si="28">D35+1</f>
        <v>3</v>
      </c>
      <c r="F35" s="712">
        <f t="shared" si="28"/>
        <v>4</v>
      </c>
      <c r="G35" s="712">
        <f t="shared" si="28"/>
        <v>5</v>
      </c>
      <c r="H35" s="712">
        <f t="shared" si="28"/>
        <v>6</v>
      </c>
      <c r="I35" s="712">
        <f t="shared" si="28"/>
        <v>7</v>
      </c>
      <c r="J35" s="713">
        <f t="shared" si="28"/>
        <v>8</v>
      </c>
    </row>
    <row r="36" spans="3:10" x14ac:dyDescent="0.25">
      <c r="C36" s="729">
        <f>C35+8</f>
        <v>9</v>
      </c>
      <c r="D36" s="730">
        <f>C36+1</f>
        <v>10</v>
      </c>
      <c r="E36" s="730">
        <f t="shared" ref="E36:J36" si="29">D36+1</f>
        <v>11</v>
      </c>
      <c r="F36" s="730">
        <f t="shared" si="29"/>
        <v>12</v>
      </c>
      <c r="G36" s="730">
        <f t="shared" si="29"/>
        <v>13</v>
      </c>
      <c r="H36" s="730">
        <f t="shared" si="29"/>
        <v>14</v>
      </c>
      <c r="I36" s="730">
        <f t="shared" si="29"/>
        <v>15</v>
      </c>
      <c r="J36" s="731">
        <f t="shared" si="29"/>
        <v>16</v>
      </c>
    </row>
    <row r="37" spans="3:10" x14ac:dyDescent="0.25">
      <c r="C37" s="732">
        <v>1</v>
      </c>
      <c r="D37" s="733">
        <f>C37+1</f>
        <v>2</v>
      </c>
      <c r="E37" s="733">
        <f t="shared" ref="E37:J37" si="30">D37+1</f>
        <v>3</v>
      </c>
      <c r="F37" s="733">
        <f t="shared" si="30"/>
        <v>4</v>
      </c>
      <c r="G37" s="733">
        <f t="shared" si="30"/>
        <v>5</v>
      </c>
      <c r="H37" s="733">
        <f t="shared" si="30"/>
        <v>6</v>
      </c>
      <c r="I37" s="733">
        <f t="shared" si="30"/>
        <v>7</v>
      </c>
      <c r="J37" s="734">
        <f t="shared" si="30"/>
        <v>8</v>
      </c>
    </row>
    <row r="38" spans="3:10" x14ac:dyDescent="0.25">
      <c r="C38" s="735">
        <f>C37+8</f>
        <v>9</v>
      </c>
      <c r="D38" s="736">
        <f>C38+1</f>
        <v>10</v>
      </c>
      <c r="E38" s="736">
        <f t="shared" ref="E38:J38" si="31">D38+1</f>
        <v>11</v>
      </c>
      <c r="F38" s="736">
        <f t="shared" si="31"/>
        <v>12</v>
      </c>
      <c r="G38" s="736">
        <f t="shared" si="31"/>
        <v>13</v>
      </c>
      <c r="H38" s="736">
        <f t="shared" si="31"/>
        <v>14</v>
      </c>
      <c r="I38" s="736">
        <f t="shared" si="31"/>
        <v>15</v>
      </c>
      <c r="J38" s="737">
        <f t="shared" si="31"/>
        <v>16</v>
      </c>
    </row>
  </sheetData>
  <mergeCells count="1">
    <mergeCell ref="W14:AD1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EVal</vt:lpstr>
      <vt:lpstr>Data</vt:lpstr>
      <vt:lpstr>Comp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EWo</dc:creator>
  <cp:lastModifiedBy>Eduard Woermann</cp:lastModifiedBy>
  <dcterms:created xsi:type="dcterms:W3CDTF">2015-06-05T18:19:34Z</dcterms:created>
  <dcterms:modified xsi:type="dcterms:W3CDTF">2022-10-04T15:48:55Z</dcterms:modified>
</cp:coreProperties>
</file>